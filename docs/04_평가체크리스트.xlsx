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평가 체크리스트" sheetId="1" state="visible" r:id="rId1"/>
    <sheet xmlns:r="http://schemas.openxmlformats.org/officeDocument/2006/relationships" name="서비스별 평가결과" sheetId="2" state="visible" r:id="rId2"/>
    <sheet xmlns:r="http://schemas.openxmlformats.org/officeDocument/2006/relationships" name="검증지표" sheetId="3" state="visible" r:id="rId3"/>
    <sheet xmlns:r="http://schemas.openxmlformats.org/officeDocument/2006/relationships" name="점수계산예시" sheetId="4" state="visible" r:id="rId4"/>
    <sheet xmlns:r="http://schemas.openxmlformats.org/officeDocument/2006/relationships" name="원문 근거" sheetId="5" state="visible" r:id="rId5"/>
    <sheet xmlns:r="http://schemas.openxmlformats.org/officeDocument/2006/relationships" name="Inter-rater 검증" sheetId="6" state="visible" r:id="rId6"/>
    <sheet xmlns:r="http://schemas.openxmlformats.org/officeDocument/2006/relationships" name="참고 기준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\초"/>
  </numFmts>
  <fonts count="5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Noto Sans CJK KR"/>
      <family val="2"/>
      <b val="1"/>
      <color rgb="FFFFFFFF"/>
      <sz val="14"/>
    </font>
    <font>
      <name val="Noto Sans CJK KR"/>
      <charset val="1"/>
      <family val="2"/>
      <color rgb="FF000000"/>
      <sz val="9"/>
    </font>
    <font>
      <name val="Noto Sans CJK KR"/>
      <charset val="1"/>
      <family val="2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Noto Sans CJK KR"/>
      <family val="2"/>
      <b val="1"/>
      <color rgb="FF000000"/>
      <sz val="9"/>
    </font>
    <font>
      <name val="Arial"/>
      <charset val="1"/>
      <family val="0"/>
      <b val="1"/>
      <color rgb="FF000000"/>
      <sz val="10"/>
    </font>
    <font>
      <name val="Noto Sans CJK KR"/>
      <charset val="1"/>
      <family val="2"/>
      <b val="1"/>
      <color rgb="FF000000"/>
      <sz val="10"/>
    </font>
    <font>
      <name val="Arial"/>
      <charset val="1"/>
      <family val="0"/>
      <color rgb="FF000000"/>
      <sz val="8"/>
    </font>
    <font>
      <name val="Noto Sans CJK KR"/>
      <family val="2"/>
      <color rgb="FF000000"/>
      <sz val="8"/>
    </font>
    <font>
      <name val="Arial"/>
      <charset val="1"/>
      <family val="0"/>
      <color rgb="FF6B7280"/>
      <sz val="8"/>
    </font>
    <font>
      <name val="Arial"/>
      <charset val="1"/>
      <family val="0"/>
      <b val="1"/>
      <color rgb="FF000000"/>
      <sz val="11"/>
    </font>
    <font>
      <name val="Noto Sans CJK KR"/>
      <charset val="1"/>
      <family val="2"/>
      <color rgb="FF000000"/>
      <sz val="8"/>
    </font>
    <font>
      <name val="Noto Sans CJK KR"/>
      <family val="2"/>
      <color rgb="FF6B7280"/>
      <sz val="8"/>
    </font>
    <font>
      <name val="Noto Sans CJK KR"/>
      <family val="2"/>
      <b val="1"/>
      <color rgb="FF000000"/>
      <sz val="10"/>
    </font>
    <font>
      <name val="Arial"/>
      <charset val="1"/>
      <family val="0"/>
      <color rgb="FF000000"/>
      <sz val="10"/>
    </font>
    <font>
      <name val="Noto Sans CJK KR"/>
      <charset val="1"/>
      <family val="2"/>
      <b val="1"/>
      <color rgb="FFFFFFFF"/>
      <sz val="12"/>
    </font>
    <font>
      <name val="Arial"/>
      <charset val="1"/>
      <family val="0"/>
      <b val="1"/>
      <color rgb="FF000000"/>
      <sz val="14"/>
    </font>
    <font>
      <name val="Noto Sans CJK KR"/>
      <charset val="1"/>
      <family val="2"/>
      <b val="1"/>
      <color rgb="FFFFFFFF"/>
      <sz val="10"/>
    </font>
    <font>
      <name val="Noto Sans CJK KR"/>
      <charset val="1"/>
      <family val="2"/>
      <b val="1"/>
      <color rgb="FF000000"/>
      <sz val="12"/>
    </font>
    <font>
      <name val="Noto Sans CJK KR"/>
      <charset val="1"/>
      <family val="2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Noto Sans CJK KR"/>
      <family val="2"/>
      <b val="1"/>
      <color rgb="FFFFFFFF"/>
      <sz val="11"/>
    </font>
    <font>
      <name val="Arial"/>
      <charset val="1"/>
      <family val="0"/>
      <b val="1"/>
      <color rgb="FF000000"/>
      <sz val="12"/>
    </font>
    <font>
      <name val="Noto Sans CJK KR"/>
      <charset val="1"/>
      <family val="2"/>
      <b val="1"/>
      <color rgb="FF000000"/>
      <sz val="11"/>
    </font>
    <font>
      <name val="Noto Sans CJK KR"/>
      <family val="2"/>
      <b val="1"/>
      <sz val="10"/>
    </font>
    <font>
      <name val="Arial"/>
      <charset val="1"/>
      <family val="0"/>
      <b val="1"/>
      <sz val="10"/>
    </font>
    <font>
      <name val="Noto Sans CJK KR"/>
      <family val="2"/>
      <sz val="9"/>
    </font>
    <font>
      <name val="Arial"/>
      <charset val="1"/>
      <family val="0"/>
      <sz val="9"/>
    </font>
    <font>
      <name val="Arial"/>
      <charset val="1"/>
      <family val="0"/>
      <b val="1"/>
      <sz val="12"/>
    </font>
    <font>
      <name val="Noto Sans CJK KR"/>
      <family val="2"/>
      <b val="1"/>
      <sz val="11"/>
    </font>
    <font>
      <name val="Arial"/>
      <charset val="1"/>
      <family val="0"/>
      <color rgb="FF000000"/>
      <sz val="9"/>
    </font>
    <font>
      <name val="Noto Sans CJK KR"/>
      <family val="2"/>
      <color rgb="FF000000"/>
      <sz val="9"/>
    </font>
    <font>
      <name val="Noto Sans CJK KR"/>
      <family val="2"/>
      <color rgb="FF000000"/>
      <sz val="10"/>
    </font>
    <font>
      <name val="Noto Sans CJK KR"/>
      <family val="2"/>
      <i val="1"/>
      <sz val="9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Noto Sans CJK KR"/>
      <family val="2"/>
      <sz val="10"/>
    </font>
    <font>
      <name val="Arial"/>
      <charset val="1"/>
      <family val="0"/>
      <sz val="10"/>
    </font>
    <font>
      <name val="Noto Sans CJK KR"/>
      <charset val="1"/>
      <family val="2"/>
      <sz val="9"/>
    </font>
    <font>
      <name val="Noto Sans CJK KR"/>
      <charset val="1"/>
      <family val="2"/>
      <sz val="10"/>
    </font>
    <font>
      <name val="Noto Sans CJK KR"/>
      <charset val="1"/>
      <family val="2"/>
      <i val="1"/>
      <sz val="9"/>
    </font>
    <font>
      <name val="Arial"/>
      <charset val="1"/>
      <family val="0"/>
      <b val="1"/>
      <color rgb="FF1E2761"/>
      <sz val="10"/>
    </font>
    <font>
      <name val="Noto Sans CJK KR"/>
      <family val="2"/>
      <b val="1"/>
      <color rgb="FF1E2761"/>
      <sz val="10"/>
    </font>
    <font>
      <name val="Arial"/>
      <charset val="1"/>
      <family val="0"/>
      <i val="1"/>
      <color rgb="FFFFFFFF"/>
      <sz val="10"/>
    </font>
    <font>
      <name val="Noto Sans CJK KR"/>
      <family val="2"/>
      <i val="1"/>
      <color rgb="FFFFFFFF"/>
      <sz val="10"/>
    </font>
  </fonts>
  <fills count="17">
    <fill>
      <patternFill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1F5F9"/>
        <bgColor rgb="FFFFFBEB"/>
      </patternFill>
    </fill>
    <fill>
      <patternFill patternType="solid">
        <fgColor rgb="FFDBEAFE"/>
        <bgColor rgb="FFE0E7FF"/>
      </patternFill>
    </fill>
    <fill>
      <patternFill patternType="solid">
        <fgColor rgb="FFFFFBEB"/>
        <bgColor rgb="FFFFFFFF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F1F5F9"/>
      </patternFill>
    </fill>
    <fill>
      <patternFill patternType="solid">
        <fgColor rgb="FFFCE7F3"/>
        <bgColor rgb="FFFEE2E2"/>
      </patternFill>
    </fill>
    <fill>
      <patternFill patternType="solid">
        <fgColor rgb="FFE0E7FF"/>
        <bgColor rgb="FFDBEAFE"/>
      </patternFill>
    </fill>
    <fill>
      <patternFill patternType="solid">
        <fgColor rgb="FFF4C430"/>
        <bgColor rgb="FFF59E0B"/>
      </patternFill>
    </fill>
    <fill>
      <patternFill patternType="solid">
        <fgColor rgb="FFCADCFC"/>
        <bgColor rgb="FFDBEAFE"/>
      </patternFill>
    </fill>
    <fill>
      <patternFill patternType="solid">
        <fgColor rgb="FF10B981"/>
        <bgColor rgb="FF33CCCC"/>
      </patternFill>
    </fill>
    <fill>
      <patternFill patternType="solid">
        <fgColor rgb="FFF59E0B"/>
        <bgColor rgb="FFF4C430"/>
      </patternFill>
    </fill>
    <fill>
      <patternFill patternType="solid">
        <fgColor rgb="FFEF4444"/>
        <bgColor rgb="FF993366"/>
      </patternFill>
    </fill>
    <fill>
      <patternFill patternType="solid">
        <fgColor rgb="FF991B1B"/>
        <bgColor rgb="FF800000"/>
      </patternFill>
    </fill>
    <fill>
      <patternFill patternType="solid">
        <fgColor rgb="FFFEE2E2"/>
        <bgColor rgb="FFFCE7F3"/>
      </patternFill>
    </fill>
  </fills>
  <borders count="10">
    <border>
      <left/>
      <right/>
      <top/>
      <bottom/>
      <diagonal/>
    </border>
    <border>
      <left style="thin">
        <color rgb="FFCADCFC"/>
      </left>
      <right style="thin">
        <color rgb="FFCADCFC"/>
      </right>
      <top style="thin">
        <color rgb="FFCADCFC"/>
      </top>
      <bottom style="thin">
        <color rgb="FFCADCFC"/>
      </bottom>
      <diagonal/>
    </border>
    <border>
      <left style="thin">
        <color rgb="FFCADCFC"/>
      </left>
      <right/>
      <top style="thin">
        <color rgb="FFCADCFC"/>
      </top>
      <bottom style="thin">
        <color rgb="FFCADCFC"/>
      </bottom>
      <diagonal/>
    </border>
    <border>
      <left/>
      <right/>
      <top style="thin">
        <color rgb="FFCADCFC"/>
      </top>
      <bottom/>
      <diagonal/>
    </border>
    <border>
      <left/>
      <right style="thin">
        <color rgb="FFCADCFC"/>
      </right>
      <top style="thin">
        <color rgb="FFCADCFC"/>
      </top>
      <bottom/>
      <diagonal/>
    </border>
    <border>
      <left/>
      <right/>
      <top style="thin">
        <color rgb="FFCADCFC"/>
      </top>
      <bottom style="thin">
        <color rgb="FFCADCFC"/>
      </bottom>
      <diagonal/>
    </border>
    <border>
      <left/>
      <right style="thin">
        <color rgb="FFCADCFC"/>
      </right>
      <top style="thin">
        <color rgb="FFCADCFC"/>
      </top>
      <bottom style="thin">
        <color rgb="FFCADCFC"/>
      </bottom>
      <diagonal/>
    </border>
    <border>
      <left style="thin">
        <color rgb="FFCADCFC"/>
      </left>
      <right/>
      <top/>
      <bottom/>
      <diagonal/>
    </border>
    <border>
      <left style="thin">
        <color rgb="FFCADCFC"/>
      </left>
      <right style="thin">
        <color rgb="FFCADCFC"/>
      </right>
      <top/>
      <bottom/>
      <diagonal/>
    </border>
    <border>
      <left style="thin">
        <color rgb="FFCADCFC"/>
      </left>
      <right style="thin">
        <color rgb="FFCADCFC"/>
      </right>
      <top/>
      <bottom style="thin">
        <color rgb="FFCADCF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right" vertical="center" wrapText="1"/>
    </xf>
    <xf numFmtId="0" fontId="19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right" vertical="center" wrapText="1"/>
    </xf>
    <xf numFmtId="0" fontId="19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right" vertical="center" wrapText="1"/>
    </xf>
    <xf numFmtId="0" fontId="19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right" vertical="center" wrapText="1"/>
    </xf>
    <xf numFmtId="0" fontId="19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right" vertical="center" wrapText="1"/>
    </xf>
    <xf numFmtId="0" fontId="19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right" vertical="center" wrapText="1"/>
    </xf>
    <xf numFmtId="0" fontId="19" fillId="2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right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center" vertical="center" wrapText="1"/>
    </xf>
    <xf numFmtId="164" fontId="10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left" vertical="center" wrapText="1"/>
    </xf>
    <xf numFmtId="0" fontId="30" fillId="11" borderId="1" applyAlignment="1" pivotButton="0" quotePrefix="0" xfId="0">
      <alignment horizontal="center" vertical="center" wrapText="1"/>
    </xf>
    <xf numFmtId="165" fontId="33" fillId="5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left" vertical="center" wrapText="1"/>
    </xf>
    <xf numFmtId="10" fontId="30" fillId="11" borderId="1" applyAlignment="1" pivotButton="0" quotePrefix="0" xfId="0">
      <alignment horizontal="center" vertical="center" wrapText="1"/>
    </xf>
    <xf numFmtId="0" fontId="29" fillId="11" borderId="1" applyAlignment="1" pivotButton="0" quotePrefix="0" xfId="0">
      <alignment horizontal="center" vertical="center" wrapText="1"/>
    </xf>
    <xf numFmtId="166" fontId="33" fillId="5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8" fillId="3" borderId="0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40" fillId="16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left" vertical="center" wrapText="1"/>
    </xf>
    <xf numFmtId="0" fontId="39" fillId="5" borderId="1" applyAlignment="1" pivotButton="0" quotePrefix="0" xfId="0">
      <alignment horizontal="left" vertical="center" wrapText="1"/>
    </xf>
    <xf numFmtId="0" fontId="38" fillId="5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/>
    </xf>
    <xf numFmtId="0" fontId="26" fillId="1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43" fillId="3" borderId="0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right" vertical="center"/>
    </xf>
    <xf numFmtId="0" fontId="40" fillId="0" borderId="1" applyAlignment="1" pivotButton="0" quotePrefix="0" xfId="0">
      <alignment horizontal="center" vertical="center"/>
    </xf>
    <xf numFmtId="2" fontId="40" fillId="10" borderId="1" applyAlignment="1" pivotButton="0" quotePrefix="0" xfId="0">
      <alignment horizontal="center" vertical="center"/>
    </xf>
    <xf numFmtId="165" fontId="40" fillId="10" borderId="1" applyAlignment="1" pivotButton="0" quotePrefix="0" xfId="0">
      <alignment horizontal="center" vertical="center"/>
    </xf>
    <xf numFmtId="165" fontId="25" fillId="12" borderId="1" applyAlignment="1" pivotButton="0" quotePrefix="0" xfId="0">
      <alignment horizontal="center" vertical="center"/>
    </xf>
    <xf numFmtId="0" fontId="45" fillId="3" borderId="2" applyAlignment="1" pivotButton="0" quotePrefix="0" xfId="0">
      <alignment horizontal="center" vertical="center" wrapText="1"/>
    </xf>
    <xf numFmtId="0" fontId="46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left" vertical="center" wrapText="1"/>
    </xf>
    <xf numFmtId="0" fontId="48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right" vertical="center" wrapText="1"/>
    </xf>
    <xf numFmtId="0" fontId="19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right" vertical="center" wrapText="1"/>
    </xf>
    <xf numFmtId="0" fontId="19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right" vertical="center" wrapText="1"/>
    </xf>
    <xf numFmtId="0" fontId="19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right" vertical="center" wrapText="1"/>
    </xf>
    <xf numFmtId="0" fontId="19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right" vertical="center" wrapText="1"/>
    </xf>
    <xf numFmtId="0" fontId="19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right" vertical="center" wrapText="1"/>
    </xf>
    <xf numFmtId="0" fontId="19" fillId="2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right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center" vertical="center" wrapText="1"/>
    </xf>
    <xf numFmtId="164" fontId="10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left" vertical="center" wrapText="1"/>
    </xf>
    <xf numFmtId="0" fontId="30" fillId="11" borderId="1" applyAlignment="1" pivotButton="0" quotePrefix="0" xfId="0">
      <alignment horizontal="center" vertical="center" wrapText="1"/>
    </xf>
    <xf numFmtId="165" fontId="33" fillId="5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left" vertical="center" wrapText="1"/>
    </xf>
    <xf numFmtId="10" fontId="30" fillId="11" borderId="1" applyAlignment="1" pivotButton="0" quotePrefix="0" xfId="0">
      <alignment horizontal="center" vertical="center" wrapText="1"/>
    </xf>
    <xf numFmtId="0" fontId="29" fillId="11" borderId="1" applyAlignment="1" pivotButton="0" quotePrefix="0" xfId="0">
      <alignment horizontal="center" vertical="center" wrapText="1"/>
    </xf>
    <xf numFmtId="166" fontId="33" fillId="5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35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8" fillId="3" borderId="0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40" fillId="16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left" vertical="center" wrapText="1"/>
    </xf>
    <xf numFmtId="0" fontId="39" fillId="5" borderId="1" applyAlignment="1" pivotButton="0" quotePrefix="0" xfId="0">
      <alignment horizontal="left" vertical="center" wrapText="1"/>
    </xf>
    <xf numFmtId="0" fontId="38" fillId="5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/>
    </xf>
    <xf numFmtId="0" fontId="26" fillId="1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43" fillId="3" borderId="0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right" vertical="center"/>
    </xf>
    <xf numFmtId="0" fontId="40" fillId="0" borderId="1" applyAlignment="1" pivotButton="0" quotePrefix="0" xfId="0">
      <alignment horizontal="center" vertical="center"/>
    </xf>
    <xf numFmtId="2" fontId="40" fillId="10" borderId="1" applyAlignment="1" pivotButton="0" quotePrefix="0" xfId="0">
      <alignment horizontal="center" vertical="center"/>
    </xf>
    <xf numFmtId="165" fontId="40" fillId="10" borderId="1" applyAlignment="1" pivotButton="0" quotePrefix="0" xfId="0">
      <alignment horizontal="center" vertical="center"/>
    </xf>
    <xf numFmtId="165" fontId="25" fillId="12" borderId="1" applyAlignment="1" pivotButton="0" quotePrefix="0" xfId="0">
      <alignment horizontal="center" vertical="center"/>
    </xf>
    <xf numFmtId="0" fontId="45" fillId="3" borderId="2" applyAlignment="1" pivotButton="0" quotePrefix="0" xfId="0">
      <alignment horizontal="center" vertical="center" wrapText="1"/>
    </xf>
    <xf numFmtId="0" fontId="46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left" vertical="center" wrapText="1"/>
    </xf>
    <xf numFmtId="0" fontId="48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10B981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59E0B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F4444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991B1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E7FF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FFBEB"/>
      <rgbColor rgb="FFFCE7F3"/>
      <rgbColor rgb="FFFF99CC"/>
      <rgbColor rgb="FFCC99FF"/>
      <rgbColor rgb="FFFEE2E2"/>
      <rgbColor rgb="FF3366FF"/>
      <rgbColor rgb="FF33CCCC"/>
      <rgbColor rgb="FF99CC00"/>
      <rgbColor rgb="FFF4C430"/>
      <rgbColor rgb="FFF59E0B"/>
      <rgbColor rgb="FFEF4444"/>
      <rgbColor rgb="FF6B7280"/>
      <rgbColor rgb="FF969696"/>
      <rgbColor rgb="FF1E2761"/>
      <rgbColor rgb="FF10B981"/>
      <rgbColor rgb="FF003300"/>
      <rgbColor rgb="FF333300"/>
      <rgbColor rgb="FF991B1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H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94" min="1" max="1"/>
    <col width="6" customWidth="1" style="94" min="2" max="2"/>
    <col width="22" customWidth="1" style="94" min="3" max="3"/>
    <col width="6" customWidth="1" style="94" min="4" max="4"/>
    <col width="32" customWidth="1" style="94" min="5" max="5"/>
    <col width="10" customWidth="1" style="94" min="6" max="6"/>
    <col width="22" customWidth="1" style="94" min="7" max="7"/>
    <col width="9" customWidth="1" style="94" min="8" max="14"/>
  </cols>
  <sheetData>
    <row r="1" ht="30" customHeight="1" s="95">
      <c r="A1" s="96" t="inlineStr">
        <is>
          <t>PrivacyScan 위험도 평가표 v3  ·  5개 영역 × 25개 세부항목 × 100점  ·  부천시 붉은악마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8" t="n"/>
    </row>
    <row r="2" ht="30" customHeight="1" s="95">
      <c r="A2" s="99" t="inlineStr">
        <is>
          <t>[ 5개 영역 × 5개 세부항목 = 25개, 100점 만점 ]  점수 룰: (누적) = 합산 후 max / (배타) = 단계별 / 0~24 안전 · 25~49 주의 · 50~74 위험 · 75+ 매우위험   ※ 점수가 높을수록 위험</t>
        </is>
      </c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8" t="n"/>
    </row>
    <row r="3" ht="36" customHeight="1" s="95">
      <c r="A3" s="100" t="inlineStr">
        <is>
          <t>영역</t>
        </is>
      </c>
      <c r="B3" s="100" t="inlineStr">
        <is>
          <t>코드</t>
        </is>
      </c>
      <c r="C3" s="100" t="inlineStr">
        <is>
          <t>평가항목</t>
        </is>
      </c>
      <c r="D3" s="100" t="inlineStr">
        <is>
          <t>배점</t>
        </is>
      </c>
      <c r="E3" s="100" t="inlineStr">
        <is>
          <t>단계형 점수 룰</t>
        </is>
      </c>
      <c r="F3" s="100" t="inlineStr">
        <is>
          <t>법조항</t>
        </is>
      </c>
      <c r="G3" s="100" t="inlineStr">
        <is>
          <t>근거 문장</t>
        </is>
      </c>
      <c r="H3" s="100" t="inlineStr">
        <is>
          <t>카카오톡</t>
        </is>
      </c>
      <c r="I3" s="100" t="inlineStr">
        <is>
          <t>네이버</t>
        </is>
      </c>
      <c r="J3" s="100" t="inlineStr">
        <is>
          <t>쿠팡</t>
        </is>
      </c>
      <c r="K3" s="100" t="inlineStr">
        <is>
          <t>토스</t>
        </is>
      </c>
      <c r="L3" s="100" t="inlineStr">
        <is>
          <t>당근마켓</t>
        </is>
      </c>
      <c r="M3" s="100" t="inlineStr">
        <is>
          <t>배달의민족</t>
        </is>
      </c>
      <c r="N3" s="100" t="inlineStr">
        <is>
          <t>인스타그램</t>
        </is>
      </c>
    </row>
    <row r="4" ht="60" customHeight="1" s="95">
      <c r="A4" s="101" t="inlineStr">
        <is>
          <t>A. 정보 수집 범위
(25점)</t>
        </is>
      </c>
      <c r="B4" s="102" t="inlineStr">
        <is>
          <t>A1</t>
        </is>
      </c>
      <c r="C4" s="103" t="inlineStr">
        <is>
          <t>서비스 목적 대비 과도한 수집 여부</t>
        </is>
      </c>
      <c r="D4" s="104" t="n">
        <v>6</v>
      </c>
      <c r="E4" s="105" t="inlineStr">
        <is>
          <t>(누적, max 6)
핵심기능 무관 항목당 +2
+ 동의 강제성 +2</t>
        </is>
      </c>
      <c r="F4" s="106" t="inlineStr">
        <is>
          <t>§15</t>
        </is>
      </c>
      <c r="G4" s="107" t="n"/>
      <c r="H4" s="108" t="n">
        <v>4</v>
      </c>
      <c r="I4" s="108" t="n">
        <v>2</v>
      </c>
      <c r="J4" s="108" t="n">
        <v>4</v>
      </c>
      <c r="K4" s="108" t="n">
        <v>2</v>
      </c>
      <c r="L4" s="108" t="n">
        <v>2</v>
      </c>
      <c r="M4" s="108" t="n">
        <v>2</v>
      </c>
      <c r="N4" s="108" t="n">
        <v>6</v>
      </c>
    </row>
    <row r="5" ht="60" customHeight="1" s="95">
      <c r="A5" s="101" t="inlineStr">
        <is>
          <t>A. 정보 수집 범위
(25점)</t>
        </is>
      </c>
      <c r="B5" s="102" t="inlineStr">
        <is>
          <t>A2</t>
        </is>
      </c>
      <c r="C5" s="103" t="inlineStr">
        <is>
          <t>민감정보·고유식별정보 수집 여부</t>
        </is>
      </c>
      <c r="D5" s="104" t="n">
        <v>7</v>
      </c>
      <c r="E5" s="105" t="inlineStr">
        <is>
          <t>(누적, max 7)
위치/행동로그 +2
건강/생체 +3
주민번호/고유식별 +4
+ 보관기준 불명확 +1</t>
        </is>
      </c>
      <c r="F5" s="106" t="inlineStr">
        <is>
          <t>§23, §24</t>
        </is>
      </c>
      <c r="G5" s="109" t="inlineStr">
        <is>
          <t>예: "주민등록번호, 위치정보, 결제정보를 수집합니다" (해당 처리방침 §2)</t>
        </is>
      </c>
      <c r="H5" s="108" t="n">
        <v>5</v>
      </c>
      <c r="I5" s="108" t="n">
        <v>5</v>
      </c>
      <c r="J5" s="108" t="n">
        <v>2</v>
      </c>
      <c r="K5" s="108" t="n">
        <v>7</v>
      </c>
      <c r="L5" s="108" t="n">
        <v>2</v>
      </c>
      <c r="M5" s="108" t="n">
        <v>2</v>
      </c>
      <c r="N5" s="108" t="n">
        <v>5</v>
      </c>
    </row>
    <row r="6" ht="60" customHeight="1" s="95">
      <c r="A6" s="101" t="inlineStr">
        <is>
          <t>A. 정보 수집 범위
(25점)</t>
        </is>
      </c>
      <c r="B6" s="102" t="inlineStr">
        <is>
          <t>A3</t>
        </is>
      </c>
      <c r="C6" s="103" t="inlineStr">
        <is>
          <t>위치·행동로그·기기정보 등 자동수집 범위</t>
        </is>
      </c>
      <c r="D6" s="104" t="n">
        <v>5</v>
      </c>
      <c r="E6" s="105" t="inlineStr">
        <is>
          <t>(누적, max 5)
IP/쿠키/기기 +1
위치 +1
행태로그 +1
광고식별자 +1
+ 비명시 동의 +1</t>
        </is>
      </c>
      <c r="F6" s="106" t="inlineStr">
        <is>
          <t>§15, §22</t>
        </is>
      </c>
      <c r="G6" s="107" t="n"/>
      <c r="H6" s="108" t="n">
        <v>5</v>
      </c>
      <c r="I6" s="108" t="n">
        <v>5</v>
      </c>
      <c r="J6" s="108" t="n">
        <v>5</v>
      </c>
      <c r="K6" s="108" t="n">
        <v>3</v>
      </c>
      <c r="L6" s="108" t="n">
        <v>4</v>
      </c>
      <c r="M6" s="108" t="n">
        <v>5</v>
      </c>
      <c r="N6" s="108" t="n">
        <v>5</v>
      </c>
    </row>
    <row r="7" ht="60" customHeight="1" s="95">
      <c r="A7" s="101" t="inlineStr">
        <is>
          <t>A. 정보 수집 범위
(25점)</t>
        </is>
      </c>
      <c r="B7" s="102" t="inlineStr">
        <is>
          <t>A4</t>
        </is>
      </c>
      <c r="C7" s="103" t="inlineStr">
        <is>
          <t>필수·선택 동의 구분 명확성</t>
        </is>
      </c>
      <c r="D7" s="104" t="n">
        <v>4</v>
      </c>
      <c r="E7" s="105" t="inlineStr">
        <is>
          <t>(배타)
분리 명확 0
구분 모호 +2
선택이 사실상 제한 조건 +4</t>
        </is>
      </c>
      <c r="F7" s="106" t="inlineStr">
        <is>
          <t>§22</t>
        </is>
      </c>
      <c r="G7" s="107" t="n"/>
      <c r="H7" s="108" t="n">
        <v>0</v>
      </c>
      <c r="I7" s="108" t="n">
        <v>0</v>
      </c>
      <c r="J7" s="108" t="n">
        <v>2</v>
      </c>
      <c r="K7" s="108" t="n">
        <v>0</v>
      </c>
      <c r="L7" s="108" t="n">
        <v>0</v>
      </c>
      <c r="M7" s="108" t="n">
        <v>2</v>
      </c>
      <c r="N7" s="108" t="n">
        <v>4</v>
      </c>
    </row>
    <row r="8" ht="60" customHeight="1" s="95">
      <c r="A8" s="101" t="inlineStr">
        <is>
          <t>A. 정보 수집 범위
(25점)</t>
        </is>
      </c>
      <c r="B8" s="102" t="inlineStr">
        <is>
          <t>A5</t>
        </is>
      </c>
      <c r="C8" s="103" t="inlineStr">
        <is>
          <t>아동·청소년 등 취약계층 정보 수집 여부</t>
        </is>
      </c>
      <c r="D8" s="104" t="n">
        <v>3</v>
      </c>
      <c r="E8" s="105" t="inlineStr">
        <is>
          <t>(누적, max 3)
14세 미만 정보 수집 +2
+ 법정대리인 동의 절차 미흡 +1</t>
        </is>
      </c>
      <c r="F8" s="106" t="inlineStr">
        <is>
          <t>§22의2</t>
        </is>
      </c>
      <c r="G8" s="107" t="n"/>
      <c r="H8" s="108" t="n">
        <v>2</v>
      </c>
      <c r="I8" s="108" t="n">
        <v>2</v>
      </c>
      <c r="J8" s="108" t="n">
        <v>0</v>
      </c>
      <c r="K8" s="108" t="n">
        <v>0</v>
      </c>
      <c r="L8" s="108" t="n">
        <v>0</v>
      </c>
      <c r="M8" s="108" t="n">
        <v>1</v>
      </c>
      <c r="N8" s="108" t="n">
        <v>2</v>
      </c>
    </row>
    <row r="9" ht="60" customHeight="1" s="95">
      <c r="A9" s="110" t="inlineStr">
        <is>
          <t>B. 정보 활용·제공
(25점)</t>
        </is>
      </c>
      <c r="B9" s="102" t="inlineStr">
        <is>
          <t>B1</t>
        </is>
      </c>
      <c r="C9" s="103" t="inlineStr">
        <is>
          <t>마케팅·광고 목적 활용 여부</t>
        </is>
      </c>
      <c r="D9" s="104" t="n">
        <v>5</v>
      </c>
      <c r="E9" s="105" t="inlineStr">
        <is>
          <t>(배타)
활용 없음 0
선택 동의 +2
사실상 제한 조건 +5</t>
        </is>
      </c>
      <c r="F9" s="106" t="inlineStr">
        <is>
          <t>§15, §22</t>
        </is>
      </c>
      <c r="G9" s="107" t="n"/>
      <c r="H9" s="108" t="n">
        <v>2</v>
      </c>
      <c r="I9" s="108" t="n">
        <v>2</v>
      </c>
      <c r="J9" s="108" t="n">
        <v>2</v>
      </c>
      <c r="K9" s="108" t="n">
        <v>2</v>
      </c>
      <c r="L9" s="108" t="n">
        <v>2</v>
      </c>
      <c r="M9" s="108" t="n">
        <v>2</v>
      </c>
      <c r="N9" s="108" t="n">
        <v>5</v>
      </c>
    </row>
    <row r="10" ht="60" customHeight="1" s="95">
      <c r="A10" s="110" t="inlineStr">
        <is>
          <t>B. 정보 활용·제공
(25점)</t>
        </is>
      </c>
      <c r="B10" s="102" t="inlineStr">
        <is>
          <t>B2</t>
        </is>
      </c>
      <c r="C10" s="103" t="inlineStr">
        <is>
          <t>제3자 제공 대상과 범위</t>
        </is>
      </c>
      <c r="D10" s="104" t="n">
        <v>7</v>
      </c>
      <c r="E10" s="105" t="inlineStr">
        <is>
          <t>(누적, max 7)
제3자 제공 있음 +3
광고사/제휴/계열사 +2
포괄적 표현 +1
제공 항목·목적 불명확 +1</t>
        </is>
      </c>
      <c r="F10" s="106" t="inlineStr">
        <is>
          <t>§17</t>
        </is>
      </c>
      <c r="G10" s="109" t="inlineStr">
        <is>
          <t>예: "광고사·제휴사·계열사에 정보를 제공할 수 있습니다" (§4)</t>
        </is>
      </c>
      <c r="H10" s="108" t="n">
        <v>7</v>
      </c>
      <c r="I10" s="108" t="n">
        <v>6</v>
      </c>
      <c r="J10" s="108" t="n">
        <v>6</v>
      </c>
      <c r="K10" s="108" t="n">
        <v>5</v>
      </c>
      <c r="L10" s="108" t="n">
        <v>2</v>
      </c>
      <c r="M10" s="108" t="n">
        <v>6</v>
      </c>
      <c r="N10" s="108" t="n">
        <v>7</v>
      </c>
    </row>
    <row r="11" ht="60" customHeight="1" s="95">
      <c r="A11" s="110" t="inlineStr">
        <is>
          <t>B. 정보 활용·제공
(25점)</t>
        </is>
      </c>
      <c r="B11" s="102" t="inlineStr">
        <is>
          <t>B3</t>
        </is>
      </c>
      <c r="C11" s="103" t="inlineStr">
        <is>
          <t>목적 외 이용 가능성</t>
        </is>
      </c>
      <c r="D11" s="104" t="n">
        <v>4</v>
      </c>
      <c r="E11" s="105" t="inlineStr">
        <is>
          <t>(누적, max 4)
"서비스 개선" 등 포괄 문구 +2
"필요시 활용" 추상적 표현 +1
별도 동의 절차 없음 +1</t>
        </is>
      </c>
      <c r="F11" s="106" t="inlineStr">
        <is>
          <t>§18</t>
        </is>
      </c>
      <c r="G11" s="107" t="n"/>
      <c r="H11" s="108" t="n">
        <v>2</v>
      </c>
      <c r="I11" s="108" t="n">
        <v>2</v>
      </c>
      <c r="J11" s="108" t="n">
        <v>3</v>
      </c>
      <c r="K11" s="108" t="n">
        <v>1</v>
      </c>
      <c r="L11" s="108" t="n">
        <v>1</v>
      </c>
      <c r="M11" s="108" t="n">
        <v>3</v>
      </c>
      <c r="N11" s="108" t="n">
        <v>4</v>
      </c>
    </row>
    <row r="12" ht="60" customHeight="1" s="95">
      <c r="A12" s="110" t="inlineStr">
        <is>
          <t>B. 정보 활용·제공
(25점)</t>
        </is>
      </c>
      <c r="B12" s="102" t="inlineStr">
        <is>
          <t>B4</t>
        </is>
      </c>
      <c r="C12" s="103" t="inlineStr">
        <is>
          <t>처리위탁 업체·업무 내용 명확성</t>
        </is>
      </c>
      <c r="D12" s="104" t="n">
        <v>4</v>
      </c>
      <c r="E12" s="105" t="inlineStr">
        <is>
          <t>(누적, max 4)
위탁 업체 5+ +2
업무 내용 모호 +1
재위탁 가능 명시 +1</t>
        </is>
      </c>
      <c r="F12" s="106" t="inlineStr">
        <is>
          <t>§26</t>
        </is>
      </c>
      <c r="G12" s="107" t="n"/>
      <c r="H12" s="108" t="n">
        <v>3</v>
      </c>
      <c r="I12" s="108" t="n">
        <v>2</v>
      </c>
      <c r="J12" s="108" t="n">
        <v>3</v>
      </c>
      <c r="K12" s="108" t="n">
        <v>2</v>
      </c>
      <c r="L12" s="108" t="n">
        <v>0</v>
      </c>
      <c r="M12" s="108" t="n">
        <v>2</v>
      </c>
      <c r="N12" s="108" t="n">
        <v>3</v>
      </c>
    </row>
    <row r="13" ht="60" customHeight="1" s="95">
      <c r="A13" s="110" t="inlineStr">
        <is>
          <t>B. 정보 활용·제공
(25점)</t>
        </is>
      </c>
      <c r="B13" s="102" t="inlineStr">
        <is>
          <t>B5</t>
        </is>
      </c>
      <c r="C13" s="103" t="inlineStr">
        <is>
          <t>국외 이전 여부와 고지 명확성</t>
        </is>
      </c>
      <c r="D13" s="104" t="n">
        <v>5</v>
      </c>
      <c r="E13" s="105" t="inlineStr">
        <is>
          <t>(배타)
이전 없음 0
이전국·이전항목 명시 +3
이전국 미명시 +5</t>
        </is>
      </c>
      <c r="F13" s="106" t="inlineStr">
        <is>
          <t>§28의8</t>
        </is>
      </c>
      <c r="G13" s="107" t="n"/>
      <c r="H13" s="108" t="n">
        <v>3</v>
      </c>
      <c r="I13" s="108" t="n">
        <v>3</v>
      </c>
      <c r="J13" s="108" t="n">
        <v>3</v>
      </c>
      <c r="K13" s="108" t="n">
        <v>0</v>
      </c>
      <c r="L13" s="108" t="n">
        <v>3</v>
      </c>
      <c r="M13" s="108" t="n">
        <v>3</v>
      </c>
      <c r="N13" s="108" t="n">
        <v>3</v>
      </c>
    </row>
    <row r="14" ht="60" customHeight="1" s="95">
      <c r="A14" s="111" t="inlineStr">
        <is>
          <t>C. 보유·파기
(15점)</t>
        </is>
      </c>
      <c r="B14" s="102" t="inlineStr">
        <is>
          <t>C1</t>
        </is>
      </c>
      <c r="C14" s="103" t="inlineStr">
        <is>
          <t>탈퇴 후 개인정보 보유 기간</t>
        </is>
      </c>
      <c r="D14" s="104" t="n">
        <v>5</v>
      </c>
      <c r="E14" s="105" t="inlineStr">
        <is>
          <t>(배타) + (누적 +1)
즉시 파기 0
1년 미만 +1
1~3년 +2
3~5년 +3
5년+ +4
+ 보관 항목 불명확 +1</t>
        </is>
      </c>
      <c r="F14" s="106" t="inlineStr">
        <is>
          <t>§21</t>
        </is>
      </c>
      <c r="G14" s="109" t="inlineStr">
        <is>
          <t>예: "탈퇴 후 거래기록을 5년간 보관합니다" (§5)</t>
        </is>
      </c>
      <c r="H14" s="108" t="n">
        <v>1</v>
      </c>
      <c r="I14" s="108" t="n">
        <v>1</v>
      </c>
      <c r="J14" s="108" t="n">
        <v>4</v>
      </c>
      <c r="K14" s="108" t="n">
        <v>4</v>
      </c>
      <c r="L14" s="108" t="n">
        <v>1</v>
      </c>
      <c r="M14" s="108" t="n">
        <v>4</v>
      </c>
      <c r="N14" s="108" t="n">
        <v>3</v>
      </c>
    </row>
    <row r="15" ht="60" customHeight="1" s="95">
      <c r="A15" s="111" t="inlineStr">
        <is>
          <t>C. 보유·파기
(15점)</t>
        </is>
      </c>
      <c r="B15" s="102" t="inlineStr">
        <is>
          <t>C2</t>
        </is>
      </c>
      <c r="C15" s="103" t="inlineStr">
        <is>
          <t>법정 보관 항목의 범위 적절성</t>
        </is>
      </c>
      <c r="D15" s="104" t="n">
        <v>3</v>
      </c>
      <c r="E15" s="105" t="inlineStr">
        <is>
          <t>(누적, max 3)
법정의무·자율보존 미분리 +2
법정의무 외 항목 추가 보관 +1</t>
        </is>
      </c>
      <c r="F15" s="106" t="inlineStr">
        <is>
          <t>§21</t>
        </is>
      </c>
      <c r="G15" s="107" t="n"/>
      <c r="H15" s="108" t="n">
        <v>0</v>
      </c>
      <c r="I15" s="108" t="n">
        <v>0</v>
      </c>
      <c r="J15" s="108" t="n">
        <v>0</v>
      </c>
      <c r="K15" s="108" t="n">
        <v>0</v>
      </c>
      <c r="L15" s="108" t="n">
        <v>0</v>
      </c>
      <c r="M15" s="108" t="n">
        <v>0</v>
      </c>
      <c r="N15" s="108" t="n">
        <v>2</v>
      </c>
    </row>
    <row r="16" ht="60" customHeight="1" s="95">
      <c r="A16" s="111" t="inlineStr">
        <is>
          <t>C. 보유·파기
(15점)</t>
        </is>
      </c>
      <c r="B16" s="102" t="inlineStr">
        <is>
          <t>C3</t>
        </is>
      </c>
      <c r="C16" s="103" t="inlineStr">
        <is>
          <t>파기 절차와 파기 방법 명확성</t>
        </is>
      </c>
      <c r="D16" s="104" t="n">
        <v>3</v>
      </c>
      <c r="E16" s="105" t="inlineStr">
        <is>
          <t>(누적, max 3)
파기 시점 미명시 +1
파기 방법 미명시 +1
분리보관 절차 미명시 +1</t>
        </is>
      </c>
      <c r="F16" s="106" t="inlineStr">
        <is>
          <t>§21</t>
        </is>
      </c>
      <c r="G16" s="107" t="n"/>
      <c r="H16" s="108" t="n">
        <v>0</v>
      </c>
      <c r="I16" s="108" t="n">
        <v>0</v>
      </c>
      <c r="J16" s="108" t="n">
        <v>0</v>
      </c>
      <c r="K16" s="108" t="n">
        <v>0</v>
      </c>
      <c r="L16" s="108" t="n">
        <v>0</v>
      </c>
      <c r="M16" s="108" t="n">
        <v>0</v>
      </c>
      <c r="N16" s="108" t="n">
        <v>1</v>
      </c>
    </row>
    <row r="17" ht="60" customHeight="1" s="95">
      <c r="A17" s="111" t="inlineStr">
        <is>
          <t>C. 보유·파기
(15점)</t>
        </is>
      </c>
      <c r="B17" s="102" t="inlineStr">
        <is>
          <t>C4</t>
        </is>
      </c>
      <c r="C17" s="103" t="inlineStr">
        <is>
          <t>백업·로그 데이터 보존 기간 명확성</t>
        </is>
      </c>
      <c r="D17" s="104" t="n">
        <v>2</v>
      </c>
      <c r="E17" s="105" t="inlineStr">
        <is>
          <t>(누적, max 2)
백업 보존 기간 미명시 +1
로그 보존 기간 미명시 +1</t>
        </is>
      </c>
      <c r="F17" s="106" t="inlineStr">
        <is>
          <t>§21</t>
        </is>
      </c>
      <c r="G17" s="107" t="n"/>
      <c r="H17" s="108" t="n">
        <v>1</v>
      </c>
      <c r="I17" s="108" t="n">
        <v>1</v>
      </c>
      <c r="J17" s="108" t="n">
        <v>1</v>
      </c>
      <c r="K17" s="108" t="n">
        <v>1</v>
      </c>
      <c r="L17" s="108" t="n">
        <v>0</v>
      </c>
      <c r="M17" s="108" t="n">
        <v>1</v>
      </c>
      <c r="N17" s="108" t="n">
        <v>2</v>
      </c>
    </row>
    <row r="18" ht="60" customHeight="1" s="95">
      <c r="A18" s="111" t="inlineStr">
        <is>
          <t>C. 보유·파기
(15점)</t>
        </is>
      </c>
      <c r="B18" s="102" t="inlineStr">
        <is>
          <t>C5</t>
        </is>
      </c>
      <c r="C18" s="103" t="inlineStr">
        <is>
          <t>휴면계정·장기 미사용자 처리 방식</t>
        </is>
      </c>
      <c r="D18" s="104" t="n">
        <v>2</v>
      </c>
      <c r="E18" s="105" t="inlineStr">
        <is>
          <t>(누적, max 2)
휴면 처리 정책 미명시 +1
복구 시 정보 자동 복원 +1</t>
        </is>
      </c>
      <c r="F18" s="106" t="inlineStr">
        <is>
          <t>§21</t>
        </is>
      </c>
      <c r="G18" s="107" t="n"/>
      <c r="H18" s="108" t="n">
        <v>0</v>
      </c>
      <c r="I18" s="108" t="n">
        <v>0</v>
      </c>
      <c r="J18" s="108" t="n">
        <v>0</v>
      </c>
      <c r="K18" s="108" t="n">
        <v>0</v>
      </c>
      <c r="L18" s="108" t="n">
        <v>0</v>
      </c>
      <c r="M18" s="108" t="n">
        <v>1</v>
      </c>
      <c r="N18" s="108" t="n">
        <v>2</v>
      </c>
    </row>
    <row r="19" ht="60" customHeight="1" s="95">
      <c r="A19" s="112" t="inlineStr">
        <is>
          <t>D. 정보주체 권리
(15점)</t>
        </is>
      </c>
      <c r="B19" s="102" t="inlineStr">
        <is>
          <t>D1</t>
        </is>
      </c>
      <c r="C19" s="103" t="inlineStr">
        <is>
          <t>열람·정정·삭제권 안내 여부</t>
        </is>
      </c>
      <c r="D19" s="104" t="n">
        <v>3</v>
      </c>
      <c r="E19" s="105" t="inlineStr">
        <is>
          <t>(누적, max 3)
열람권 미안내 +1
정정권 미안내 +1
삭제권 미안내 +1</t>
        </is>
      </c>
      <c r="F19" s="106" t="inlineStr">
        <is>
          <t>§35, §36</t>
        </is>
      </c>
      <c r="G19" s="107" t="n"/>
      <c r="H19" s="108" t="n">
        <v>0</v>
      </c>
      <c r="I19" s="108" t="n">
        <v>0</v>
      </c>
      <c r="J19" s="108" t="n">
        <v>0</v>
      </c>
      <c r="K19" s="108" t="n">
        <v>0</v>
      </c>
      <c r="L19" s="108" t="n">
        <v>0</v>
      </c>
      <c r="M19" s="108" t="n">
        <v>0</v>
      </c>
      <c r="N19" s="108" t="n">
        <v>1</v>
      </c>
    </row>
    <row r="20" ht="60" customHeight="1" s="95">
      <c r="A20" s="112" t="inlineStr">
        <is>
          <t>D. 정보주체 권리
(15점)</t>
        </is>
      </c>
      <c r="B20" s="102" t="inlineStr">
        <is>
          <t>D2</t>
        </is>
      </c>
      <c r="C20" s="103" t="inlineStr">
        <is>
          <t>처리정지·동의철회 안내 여부</t>
        </is>
      </c>
      <c r="D20" s="104" t="n">
        <v>3</v>
      </c>
      <c r="E20" s="105" t="inlineStr">
        <is>
          <t>(누적, max 3)
처리정지 미안내 +1
동의철회 절차 복잡 +1
철회 시 불이익 명시 +1</t>
        </is>
      </c>
      <c r="F20" s="106" t="inlineStr">
        <is>
          <t>§37</t>
        </is>
      </c>
      <c r="G20" s="107" t="n"/>
      <c r="H20" s="108" t="n">
        <v>0</v>
      </c>
      <c r="I20" s="108" t="n">
        <v>0</v>
      </c>
      <c r="J20" s="108" t="n">
        <v>1</v>
      </c>
      <c r="K20" s="108" t="n">
        <v>0</v>
      </c>
      <c r="L20" s="108" t="n">
        <v>0</v>
      </c>
      <c r="M20" s="108" t="n">
        <v>1</v>
      </c>
      <c r="N20" s="108" t="n">
        <v>2</v>
      </c>
    </row>
    <row r="21" ht="60" customHeight="1" s="95">
      <c r="A21" s="112" t="inlineStr">
        <is>
          <t>D. 정보주체 권리
(15점)</t>
        </is>
      </c>
      <c r="B21" s="102" t="inlineStr">
        <is>
          <t>D3</t>
        </is>
      </c>
      <c r="C21" s="103" t="inlineStr">
        <is>
          <t>권리 행사 절차의 접근성</t>
        </is>
      </c>
      <c r="D21" s="104" t="n">
        <v>3</v>
      </c>
      <c r="E21" s="105" t="inlineStr">
        <is>
          <t>(배타)
앱 내 메뉴 0
웹사이트 메뉴만 +1
이메일·서면만 +2
별도 본인확인 추가 +3</t>
        </is>
      </c>
      <c r="F21" s="106" t="inlineStr">
        <is>
          <t>§35~37</t>
        </is>
      </c>
      <c r="G21" s="107" t="n"/>
      <c r="H21" s="108" t="n">
        <v>0</v>
      </c>
      <c r="I21" s="108" t="n">
        <v>0</v>
      </c>
      <c r="J21" s="108" t="n">
        <v>0</v>
      </c>
      <c r="K21" s="108" t="n">
        <v>0</v>
      </c>
      <c r="L21" s="108" t="n">
        <v>0</v>
      </c>
      <c r="M21" s="108" t="n">
        <v>0</v>
      </c>
      <c r="N21" s="108" t="n">
        <v>0</v>
      </c>
    </row>
    <row r="22" ht="60" customHeight="1" s="95">
      <c r="A22" s="112" t="inlineStr">
        <is>
          <t>D. 정보주체 권리
(15점)</t>
        </is>
      </c>
      <c r="B22" s="102" t="inlineStr">
        <is>
          <t>D4</t>
        </is>
      </c>
      <c r="C22" s="103" t="inlineStr">
        <is>
          <t>권리 요청 처리 기한 고지 여부</t>
        </is>
      </c>
      <c r="D22" s="104" t="n">
        <v>2</v>
      </c>
      <c r="E22" s="105" t="inlineStr">
        <is>
          <t>(배타)
10일 이내 명시 0
30일 이내 +1
기한 미명시 +2</t>
        </is>
      </c>
      <c r="F22" s="106" t="inlineStr">
        <is>
          <t>§35~37</t>
        </is>
      </c>
      <c r="G22" s="107" t="n"/>
      <c r="H22" s="108" t="n">
        <v>0</v>
      </c>
      <c r="I22" s="108" t="n">
        <v>0</v>
      </c>
      <c r="J22" s="108" t="n">
        <v>0</v>
      </c>
      <c r="K22" s="108" t="n">
        <v>0</v>
      </c>
      <c r="L22" s="108" t="n">
        <v>0</v>
      </c>
      <c r="M22" s="108" t="n">
        <v>0</v>
      </c>
      <c r="N22" s="108" t="n">
        <v>1</v>
      </c>
    </row>
    <row r="23" ht="60" customHeight="1" s="95">
      <c r="A23" s="112" t="inlineStr">
        <is>
          <t>D. 정보주체 권리
(15점)</t>
        </is>
      </c>
      <c r="B23" s="102" t="inlineStr">
        <is>
          <t>D5</t>
        </is>
      </c>
      <c r="C23" s="103" t="inlineStr">
        <is>
          <t>자동화된 결정·프로파일링 관련 안내</t>
        </is>
      </c>
      <c r="D23" s="104" t="n">
        <v>4</v>
      </c>
      <c r="E23" s="105" t="inlineStr">
        <is>
          <t>(누적, max 4)
프로파일링 안내 미흡 +2
거부권 미명시 +2</t>
        </is>
      </c>
      <c r="F23" s="106" t="inlineStr">
        <is>
          <t>§37의2</t>
        </is>
      </c>
      <c r="G23" s="109" t="inlineStr">
        <is>
          <t>예: "AI 기반 추천 알고리즘을 통해..." (거부권 미명시) (§7)</t>
        </is>
      </c>
      <c r="H23" s="108" t="n">
        <v>4</v>
      </c>
      <c r="I23" s="108" t="n">
        <v>2</v>
      </c>
      <c r="J23" s="108" t="n">
        <v>4</v>
      </c>
      <c r="K23" s="108" t="n">
        <v>2</v>
      </c>
      <c r="L23" s="108" t="n">
        <v>0</v>
      </c>
      <c r="M23" s="108" t="n">
        <v>4</v>
      </c>
      <c r="N23" s="108" t="n">
        <v>4</v>
      </c>
    </row>
    <row r="24" ht="60" customHeight="1" s="95">
      <c r="A24" s="113" t="inlineStr">
        <is>
          <t>E. 처리방침 투명성
(20점)</t>
        </is>
      </c>
      <c r="B24" s="102" t="inlineStr">
        <is>
          <t>E1</t>
        </is>
      </c>
      <c r="C24" s="103" t="inlineStr">
        <is>
          <t>처리방침 항목 구조 명확성</t>
        </is>
      </c>
      <c r="D24" s="104" t="n">
        <v>4</v>
      </c>
      <c r="E24" s="105" t="inlineStr">
        <is>
          <t>(누적, max 4)
수집·이용·제공·보유·파기 5개 항목 분리 X +2
목차/앵커 미제공 +1
섹션 구분 모호 +1</t>
        </is>
      </c>
      <c r="F24" s="106" t="inlineStr">
        <is>
          <t>§30</t>
        </is>
      </c>
      <c r="G24" s="107" t="n"/>
      <c r="H24" s="108" t="n">
        <v>0</v>
      </c>
      <c r="I24" s="108" t="n">
        <v>0</v>
      </c>
      <c r="J24" s="108" t="n">
        <v>0</v>
      </c>
      <c r="K24" s="108" t="n">
        <v>0</v>
      </c>
      <c r="L24" s="108" t="n">
        <v>0</v>
      </c>
      <c r="M24" s="108" t="n">
        <v>1</v>
      </c>
      <c r="N24" s="108" t="n">
        <v>2</v>
      </c>
    </row>
    <row r="25" ht="60" customHeight="1" s="95">
      <c r="A25" s="113" t="inlineStr">
        <is>
          <t>E. 처리방침 투명성
(20점)</t>
        </is>
      </c>
      <c r="B25" s="102" t="inlineStr">
        <is>
          <t>E2</t>
        </is>
      </c>
      <c r="C25" s="103" t="inlineStr">
        <is>
          <t>문장 난이도와 이용자 이해 가능성</t>
        </is>
      </c>
      <c r="D25" s="104" t="n">
        <v>4</v>
      </c>
      <c r="E25" s="105" t="inlineStr">
        <is>
          <t>(누적, max 4)
평균 어절 수 30+ +1
한자어 비율 30%+ +1
전문용어 다수 +1
글자 크기 10pt 미만 +1</t>
        </is>
      </c>
      <c r="F25" s="106" t="inlineStr">
        <is>
          <t>§30</t>
        </is>
      </c>
      <c r="G25" s="109" t="inlineStr">
        <is>
          <t>예: 평균 어절 30+ / 한자어 30%+ / 전문용어 다수 (KISA 가독성 기준)</t>
        </is>
      </c>
      <c r="H25" s="108" t="n">
        <v>2</v>
      </c>
      <c r="I25" s="108" t="n">
        <v>1</v>
      </c>
      <c r="J25" s="108" t="n">
        <v>1</v>
      </c>
      <c r="K25" s="108" t="n">
        <v>0</v>
      </c>
      <c r="L25" s="108" t="n">
        <v>0</v>
      </c>
      <c r="M25" s="108" t="n">
        <v>1</v>
      </c>
      <c r="N25" s="108" t="n">
        <v>3</v>
      </c>
    </row>
    <row r="26" ht="60" customHeight="1" s="95">
      <c r="A26" s="113" t="inlineStr">
        <is>
          <t>E. 처리방침 투명성
(20점)</t>
        </is>
      </c>
      <c r="B26" s="102" t="inlineStr">
        <is>
          <t>E3</t>
        </is>
      </c>
      <c r="C26" s="103" t="inlineStr">
        <is>
          <t>변경 이력·개정일·이전 버전 제공 여부</t>
        </is>
      </c>
      <c r="D26" s="104" t="n">
        <v>4</v>
      </c>
      <c r="E26" s="105" t="inlineStr">
        <is>
          <t>(누적, max 4)
개정일 미표시 +2
변경 내역 미공개 +1
이전 버전 미제공 +1</t>
        </is>
      </c>
      <c r="F26" s="106" t="inlineStr">
        <is>
          <t>§30</t>
        </is>
      </c>
      <c r="G26" s="107" t="n"/>
      <c r="H26" s="108" t="n">
        <v>0</v>
      </c>
      <c r="I26" s="108" t="n">
        <v>0</v>
      </c>
      <c r="J26" s="108" t="n">
        <v>0</v>
      </c>
      <c r="K26" s="108" t="n">
        <v>0</v>
      </c>
      <c r="L26" s="108" t="n">
        <v>0</v>
      </c>
      <c r="M26" s="108" t="n">
        <v>1</v>
      </c>
      <c r="N26" s="108" t="n">
        <v>0</v>
      </c>
    </row>
    <row r="27" ht="60" customHeight="1" s="95">
      <c r="A27" s="113" t="inlineStr">
        <is>
          <t>E. 처리방침 투명성
(20점)</t>
        </is>
      </c>
      <c r="B27" s="102" t="inlineStr">
        <is>
          <t>E4</t>
        </is>
      </c>
      <c r="C27" s="103" t="inlineStr">
        <is>
          <t>개인정보 보호책임자·문의처 명확성</t>
        </is>
      </c>
      <c r="D27" s="104" t="n">
        <v>4</v>
      </c>
      <c r="E27" s="105" t="inlineStr">
        <is>
          <t>(누적, max 4)
책임자 직책 미명시 +1
연락처(이메일/전화) 미명시 +2
부서 미명시 +1</t>
        </is>
      </c>
      <c r="F27" s="106" t="inlineStr">
        <is>
          <t>§31</t>
        </is>
      </c>
      <c r="G27" s="107" t="n"/>
      <c r="H27" s="108" t="n">
        <v>0</v>
      </c>
      <c r="I27" s="108" t="n">
        <v>0</v>
      </c>
      <c r="J27" s="108" t="n">
        <v>0</v>
      </c>
      <c r="K27" s="108" t="n">
        <v>0</v>
      </c>
      <c r="L27" s="108" t="n">
        <v>0</v>
      </c>
      <c r="M27" s="108" t="n">
        <v>0</v>
      </c>
      <c r="N27" s="108" t="n">
        <v>0</v>
      </c>
    </row>
    <row r="28" ht="60" customHeight="1" s="95">
      <c r="A28" s="113" t="inlineStr">
        <is>
          <t>E. 처리방침 투명성
(20점)</t>
        </is>
      </c>
      <c r="B28" s="102" t="inlineStr">
        <is>
          <t>E5</t>
        </is>
      </c>
      <c r="C28" s="103" t="inlineStr">
        <is>
          <t>핵심 위험 요약·중요 고지 제공 여부</t>
        </is>
      </c>
      <c r="D28" s="104" t="n">
        <v>4</v>
      </c>
      <c r="E28" s="105" t="inlineStr">
        <is>
          <t>(누적, max 4)
핵심 요약 섹션 없음 +2
중요 변경 팝업·푸시 미사용 +1
사용자 친화적 시각화 없음 +1</t>
        </is>
      </c>
      <c r="F28" s="106" t="inlineStr">
        <is>
          <t>§30</t>
        </is>
      </c>
      <c r="G28" s="107" t="n"/>
      <c r="H28" s="108" t="n">
        <v>3</v>
      </c>
      <c r="I28" s="108" t="n">
        <v>3</v>
      </c>
      <c r="J28" s="108" t="n">
        <v>3</v>
      </c>
      <c r="K28" s="108" t="n">
        <v>1</v>
      </c>
      <c r="L28" s="108" t="n">
        <v>3</v>
      </c>
      <c r="M28" s="108" t="n">
        <v>3</v>
      </c>
      <c r="N28" s="108" t="n">
        <v>4</v>
      </c>
    </row>
    <row r="29" ht="15" customHeight="1" s="95">
      <c r="A29" s="114" t="inlineStr">
        <is>
          <t>▷ A 영역 합계</t>
        </is>
      </c>
      <c r="B29" s="97" t="n"/>
      <c r="C29" s="97" t="n"/>
      <c r="D29" s="97" t="n"/>
      <c r="E29" s="97" t="n"/>
      <c r="F29" s="98" t="n"/>
      <c r="G29" s="115" t="n"/>
      <c r="H29" s="116">
        <f>SUM(H4:H8)</f>
        <v/>
      </c>
      <c r="I29" s="116">
        <f>SUM(I4:I8)</f>
        <v/>
      </c>
      <c r="J29" s="116">
        <f>SUM(J4:J8)</f>
        <v/>
      </c>
      <c r="K29" s="116">
        <f>SUM(K4:K8)</f>
        <v/>
      </c>
      <c r="L29" s="116">
        <f>SUM(L4:L8)</f>
        <v/>
      </c>
      <c r="M29" s="116">
        <f>SUM(M4:M8)</f>
        <v/>
      </c>
      <c r="N29" s="116">
        <f>SUM(N4:N8)</f>
        <v/>
      </c>
    </row>
    <row r="30" ht="15" customHeight="1" s="95">
      <c r="A30" s="117" t="inlineStr">
        <is>
          <t>▷ B 영역 합계</t>
        </is>
      </c>
      <c r="B30" s="97" t="n"/>
      <c r="C30" s="97" t="n"/>
      <c r="D30" s="97" t="n"/>
      <c r="E30" s="97" t="n"/>
      <c r="F30" s="98" t="n"/>
      <c r="G30" s="118" t="n"/>
      <c r="H30" s="119">
        <f>SUM(H9:H13)</f>
        <v/>
      </c>
      <c r="I30" s="119">
        <f>SUM(I9:I13)</f>
        <v/>
      </c>
      <c r="J30" s="119">
        <f>SUM(J9:J13)</f>
        <v/>
      </c>
      <c r="K30" s="119">
        <f>SUM(K9:K13)</f>
        <v/>
      </c>
      <c r="L30" s="119">
        <f>SUM(L9:L13)</f>
        <v/>
      </c>
      <c r="M30" s="119">
        <f>SUM(M9:M13)</f>
        <v/>
      </c>
      <c r="N30" s="119">
        <f>SUM(N9:N13)</f>
        <v/>
      </c>
    </row>
    <row r="31" ht="15" customHeight="1" s="95">
      <c r="A31" s="120" t="inlineStr">
        <is>
          <t>▷ C 영역 합계</t>
        </is>
      </c>
      <c r="B31" s="97" t="n"/>
      <c r="C31" s="97" t="n"/>
      <c r="D31" s="97" t="n"/>
      <c r="E31" s="97" t="n"/>
      <c r="F31" s="98" t="n"/>
      <c r="G31" s="121" t="n"/>
      <c r="H31" s="122">
        <f>SUM(H14:H18)</f>
        <v/>
      </c>
      <c r="I31" s="122">
        <f>SUM(I14:I18)</f>
        <v/>
      </c>
      <c r="J31" s="122">
        <f>SUM(J14:J18)</f>
        <v/>
      </c>
      <c r="K31" s="122">
        <f>SUM(K14:K18)</f>
        <v/>
      </c>
      <c r="L31" s="122">
        <f>SUM(L14:L18)</f>
        <v/>
      </c>
      <c r="M31" s="122">
        <f>SUM(M14:M18)</f>
        <v/>
      </c>
      <c r="N31" s="122">
        <f>SUM(N14:N18)</f>
        <v/>
      </c>
    </row>
    <row r="32" ht="15" customHeight="1" s="95">
      <c r="A32" s="123" t="inlineStr">
        <is>
          <t>▷ D 영역 합계</t>
        </is>
      </c>
      <c r="B32" s="97" t="n"/>
      <c r="C32" s="97" t="n"/>
      <c r="D32" s="97" t="n"/>
      <c r="E32" s="97" t="n"/>
      <c r="F32" s="98" t="n"/>
      <c r="G32" s="124" t="n"/>
      <c r="H32" s="125">
        <f>SUM(H19:H23)</f>
        <v/>
      </c>
      <c r="I32" s="125">
        <f>SUM(I19:I23)</f>
        <v/>
      </c>
      <c r="J32" s="125">
        <f>SUM(J19:J23)</f>
        <v/>
      </c>
      <c r="K32" s="125">
        <f>SUM(K19:K23)</f>
        <v/>
      </c>
      <c r="L32" s="125">
        <f>SUM(L19:L23)</f>
        <v/>
      </c>
      <c r="M32" s="125">
        <f>SUM(M19:M23)</f>
        <v/>
      </c>
      <c r="N32" s="125">
        <f>SUM(N19:N23)</f>
        <v/>
      </c>
    </row>
    <row r="33" ht="15" customHeight="1" s="95">
      <c r="A33" s="126" t="inlineStr">
        <is>
          <t>▷ E 영역 합계</t>
        </is>
      </c>
      <c r="B33" s="97" t="n"/>
      <c r="C33" s="97" t="n"/>
      <c r="D33" s="97" t="n"/>
      <c r="E33" s="97" t="n"/>
      <c r="F33" s="98" t="n"/>
      <c r="G33" s="127" t="n"/>
      <c r="H33" s="128">
        <f>SUM(H24:H28)</f>
        <v/>
      </c>
      <c r="I33" s="128">
        <f>SUM(I24:I28)</f>
        <v/>
      </c>
      <c r="J33" s="128">
        <f>SUM(J24:J28)</f>
        <v/>
      </c>
      <c r="K33" s="128">
        <f>SUM(K24:K28)</f>
        <v/>
      </c>
      <c r="L33" s="128">
        <f>SUM(L24:L28)</f>
        <v/>
      </c>
      <c r="M33" s="128">
        <f>SUM(M24:M28)</f>
        <v/>
      </c>
      <c r="N33" s="128">
        <f>SUM(N24:N28)</f>
        <v/>
      </c>
    </row>
    <row r="34" ht="31.5" customHeight="1" s="95">
      <c r="A34" s="129" t="inlineStr">
        <is>
          <t>총점 (100점 만점)</t>
        </is>
      </c>
      <c r="B34" s="97" t="n"/>
      <c r="C34" s="97" t="n"/>
      <c r="D34" s="97" t="n"/>
      <c r="E34" s="97" t="n"/>
      <c r="F34" s="98" t="n"/>
      <c r="G34" s="130" t="n"/>
      <c r="H34" s="131">
        <f>H29+H30+H31+H32+H33</f>
        <v/>
      </c>
      <c r="I34" s="131">
        <f>I29+I30+I31+I32+I33</f>
        <v/>
      </c>
      <c r="J34" s="131">
        <f>J29+J30+J31+J32+J33</f>
        <v/>
      </c>
      <c r="K34" s="131">
        <f>K29+K30+K31+K32+K33</f>
        <v/>
      </c>
      <c r="L34" s="131">
        <f>L29+L30+L31+L32+L33</f>
        <v/>
      </c>
      <c r="M34" s="131">
        <f>M29+M30+M31+M32+M33</f>
        <v/>
      </c>
      <c r="N34" s="131">
        <f>N29+N30+N31+N32+N33</f>
        <v/>
      </c>
    </row>
    <row r="35" ht="27.75" customHeight="1" s="95">
      <c r="A35" s="132" t="inlineStr">
        <is>
          <t>등급</t>
        </is>
      </c>
      <c r="B35" s="97" t="n"/>
      <c r="C35" s="97" t="n"/>
      <c r="D35" s="97" t="n"/>
      <c r="E35" s="97" t="n"/>
      <c r="F35" s="97" t="n"/>
      <c r="G35" s="98" t="n"/>
      <c r="H35" s="133">
        <f>IF(H34&lt;25,"안전",IF(H34&lt;50,"주의",IF(H34&lt;75,"위험","매우위험")))</f>
        <v/>
      </c>
      <c r="I35" s="133">
        <f>IF(I34&lt;25,"안전",IF(I34&lt;50,"주의",IF(I34&lt;75,"위험","매우위험")))</f>
        <v/>
      </c>
      <c r="J35" s="133">
        <f>IF(J34&lt;25,"안전",IF(J34&lt;50,"주의",IF(J34&lt;75,"위험","매우위험")))</f>
        <v/>
      </c>
      <c r="K35" s="133">
        <f>IF(K34&lt;25,"안전",IF(K34&lt;50,"주의",IF(K34&lt;75,"위험","매우위험")))</f>
        <v/>
      </c>
      <c r="L35" s="133">
        <f>IF(L34&lt;25,"안전",IF(L34&lt;50,"주의",IF(L34&lt;75,"위험","매우위험")))</f>
        <v/>
      </c>
      <c r="M35" s="133">
        <f>IF(M34&lt;25,"안전",IF(M34&lt;50,"주의",IF(M34&lt;75,"위험","매우위험")))</f>
        <v/>
      </c>
      <c r="N35" s="133">
        <f>IF(N34&lt;25,"안전",IF(N34&lt;50,"주의",IF(N34&lt;75,"위험","매우위험")))</f>
        <v/>
      </c>
    </row>
  </sheetData>
  <mergeCells count="9">
    <mergeCell ref="A33:F33"/>
    <mergeCell ref="A2:N2"/>
    <mergeCell ref="A32:F32"/>
    <mergeCell ref="A35:G35"/>
    <mergeCell ref="A31:F31"/>
    <mergeCell ref="A34:F34"/>
    <mergeCell ref="A30:F30"/>
    <mergeCell ref="A29:F29"/>
    <mergeCell ref="A1:N1"/>
  </mergeCells>
  <conditionalFormatting sqref="H35:N35">
    <cfRule type="cellIs" rank="0" priority="2" equalAverage="0" operator="equal" aboveAverage="0" dxfId="0" text="" percent="0" bottom="0">
      <formula>"안전"</formula>
    </cfRule>
    <cfRule type="cellIs" rank="0" priority="3" equalAverage="0" operator="equal" aboveAverage="0" dxfId="1" text="" percent="0" bottom="0">
      <formula>"주의"</formula>
    </cfRule>
    <cfRule type="cellIs" rank="0" priority="4" equalAverage="0" operator="equal" aboveAverage="0" dxfId="2" text="" percent="0" bottom="0">
      <formula>"위험"</formula>
    </cfRule>
    <cfRule type="cellIs" rank="0" priority="5" equalAverage="0" operator="equal" aboveAverage="0" dxfId="3" text="" percent="0" bottom="0">
      <formula>"매우위험"</formula>
    </cfRule>
  </conditionalFormatting>
  <conditionalFormatting sqref="H4:N33">
    <cfRule type="colorScale" priority="6">
      <colorScale>
        <cfvo type="num" val="0"/>
        <cfvo type="num" val="2"/>
        <cfvo type="num" val="7"/>
        <color rgb="FFFFFFFF"/>
        <color rgb="FFFFE4B5"/>
        <color rgb="FFEF4444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4" min="1" max="6"/>
    <col width="9" customWidth="1" style="94" min="7" max="7"/>
    <col width="11" customWidth="1" style="94" min="8" max="8"/>
    <col width="38" customWidth="1" style="94" min="9" max="9"/>
  </cols>
  <sheetData>
    <row r="1" ht="30" customHeight="1" s="95">
      <c r="A1" s="134" t="inlineStr">
        <is>
          <t>서비스별 위험도 평가 결과</t>
        </is>
      </c>
      <c r="B1" s="97" t="n"/>
      <c r="C1" s="97" t="n"/>
      <c r="D1" s="97" t="n"/>
      <c r="E1" s="97" t="n"/>
      <c r="F1" s="97" t="n"/>
      <c r="G1" s="97" t="n"/>
      <c r="H1" s="97" t="n"/>
      <c r="I1" s="98" t="n"/>
    </row>
    <row r="3" ht="31.5" customHeight="1" s="95">
      <c r="A3" s="100" t="inlineStr">
        <is>
          <t>서비스</t>
        </is>
      </c>
      <c r="B3" s="135" t="inlineStr">
        <is>
          <t>A. 수집범위</t>
        </is>
      </c>
      <c r="C3" s="135" t="inlineStr">
        <is>
          <t>B. 활용·제공</t>
        </is>
      </c>
      <c r="D3" s="135" t="inlineStr">
        <is>
          <t>C. 보유·파기</t>
        </is>
      </c>
      <c r="E3" s="135" t="inlineStr">
        <is>
          <t>D. 권리보장</t>
        </is>
      </c>
      <c r="F3" s="135" t="inlineStr">
        <is>
          <t>E. 투명성</t>
        </is>
      </c>
      <c r="G3" s="100" t="inlineStr">
        <is>
          <t>총점</t>
        </is>
      </c>
      <c r="H3" s="100" t="inlineStr">
        <is>
          <t>등급</t>
        </is>
      </c>
      <c r="I3" s="100" t="inlineStr">
        <is>
          <t>핵심 위험 TOP 3</t>
        </is>
      </c>
    </row>
    <row r="4" ht="27.75" customHeight="1" s="95">
      <c r="A4" s="136" t="inlineStr">
        <is>
          <t>카카오톡</t>
        </is>
      </c>
      <c r="B4" s="102">
        <f>'평가 체크리스트'!H29</f>
        <v/>
      </c>
      <c r="C4" s="102">
        <f>'평가 체크리스트'!H30</f>
        <v/>
      </c>
      <c r="D4" s="102">
        <f>'평가 체크리스트'!H31</f>
        <v/>
      </c>
      <c r="E4" s="102">
        <f>'평가 체크리스트'!H32</f>
        <v/>
      </c>
      <c r="F4" s="102">
        <f>'평가 체크리스트'!H33</f>
        <v/>
      </c>
      <c r="G4" s="137">
        <f>'평가 체크리스트'!H34</f>
        <v/>
      </c>
      <c r="H4" s="138">
        <f>'평가 체크리스트'!H35</f>
        <v/>
      </c>
      <c r="I4" s="139" t="inlineStr">
        <is>
          <t>제3자 제공 범위 넓음(B2:7) · 자동수집 항목 광범위(A3:5) · 자동화 결정 안내 확인 필요(D5:4)</t>
        </is>
      </c>
    </row>
    <row r="5" ht="27.75" customHeight="1" s="95">
      <c r="A5" s="136" t="inlineStr">
        <is>
          <t>네이버</t>
        </is>
      </c>
      <c r="B5" s="102">
        <f>'평가 체크리스트'!I29</f>
        <v/>
      </c>
      <c r="C5" s="102">
        <f>'평가 체크리스트'!I30</f>
        <v/>
      </c>
      <c r="D5" s="102">
        <f>'평가 체크리스트'!I31</f>
        <v/>
      </c>
      <c r="E5" s="102">
        <f>'평가 체크리스트'!I32</f>
        <v/>
      </c>
      <c r="F5" s="102">
        <f>'평가 체크리스트'!I33</f>
        <v/>
      </c>
      <c r="G5" s="137">
        <f>'평가 체크리스트'!I34</f>
        <v/>
      </c>
      <c r="H5" s="138">
        <f>'평가 체크리스트'!I35</f>
        <v/>
      </c>
      <c r="I5" s="139" t="inlineStr">
        <is>
          <t>민감정보·자동수집 광범위(A2:5,A3:5) · 제3자 제공 다수(B2:6) · 프로파일링 안내 확인 필요(D5:2)</t>
        </is>
      </c>
    </row>
    <row r="6" ht="27.75" customHeight="1" s="95">
      <c r="A6" s="136" t="inlineStr">
        <is>
          <t>쿠팡</t>
        </is>
      </c>
      <c r="B6" s="102">
        <f>'평가 체크리스트'!J29</f>
        <v/>
      </c>
      <c r="C6" s="102">
        <f>'평가 체크리스트'!J30</f>
        <v/>
      </c>
      <c r="D6" s="102">
        <f>'평가 체크리스트'!J31</f>
        <v/>
      </c>
      <c r="E6" s="102">
        <f>'평가 체크리스트'!J32</f>
        <v/>
      </c>
      <c r="F6" s="102">
        <f>'평가 체크리스트'!J33</f>
        <v/>
      </c>
      <c r="G6" s="137">
        <f>'평가 체크리스트'!J34</f>
        <v/>
      </c>
      <c r="H6" s="138">
        <f>'평가 체크리스트'!J35</f>
        <v/>
      </c>
      <c r="I6" s="139" t="inlineStr">
        <is>
          <t>탈퇴 후 5년 보유(C1:4) · 제3자 제공 범위 넓음(B2:6) · 자동화 결정 안내 확인 필요(D5:4)</t>
        </is>
      </c>
    </row>
    <row r="7" ht="27.75" customHeight="1" s="95">
      <c r="A7" s="136" t="inlineStr">
        <is>
          <t>토스</t>
        </is>
      </c>
      <c r="B7" s="102">
        <f>'평가 체크리스트'!K29</f>
        <v/>
      </c>
      <c r="C7" s="102">
        <f>'평가 체크리스트'!K30</f>
        <v/>
      </c>
      <c r="D7" s="102">
        <f>'평가 체크리스트'!K31</f>
        <v/>
      </c>
      <c r="E7" s="102">
        <f>'평가 체크리스트'!K32</f>
        <v/>
      </c>
      <c r="F7" s="102">
        <f>'평가 체크리스트'!K33</f>
        <v/>
      </c>
      <c r="G7" s="137">
        <f>'평가 체크리스트'!K34</f>
        <v/>
      </c>
      <c r="H7" s="138">
        <f>'평가 체크리스트'!K35</f>
        <v/>
      </c>
      <c r="I7" s="139" t="inlineStr">
        <is>
          <t>민감·고유식별정보 다수 수집(A2:7) · 탈퇴 후 5년 보유(C1:4) · 제3자 제공 범위(B2:5)</t>
        </is>
      </c>
    </row>
    <row r="8" ht="27.75" customHeight="1" s="95">
      <c r="A8" s="136" t="inlineStr">
        <is>
          <t>당근마켓</t>
        </is>
      </c>
      <c r="B8" s="102">
        <f>'평가 체크리스트'!L29</f>
        <v/>
      </c>
      <c r="C8" s="102">
        <f>'평가 체크리스트'!L30</f>
        <v/>
      </c>
      <c r="D8" s="102">
        <f>'평가 체크리스트'!L31</f>
        <v/>
      </c>
      <c r="E8" s="102">
        <f>'평가 체크리스트'!L32</f>
        <v/>
      </c>
      <c r="F8" s="102">
        <f>'평가 체크리스트'!L33</f>
        <v/>
      </c>
      <c r="G8" s="137">
        <f>'평가 체크리스트'!L34</f>
        <v/>
      </c>
      <c r="H8" s="138">
        <f>'평가 체크리스트'!L35</f>
        <v/>
      </c>
      <c r="I8" s="139" t="inlineStr">
        <is>
          <t>전반적 양호 - 자동수집 4점·B2 2점이 주요 가산 요인 (안전 등급)</t>
        </is>
      </c>
    </row>
    <row r="9" ht="27.75" customHeight="1" s="95">
      <c r="A9" s="136" t="inlineStr">
        <is>
          <t>배달의민족</t>
        </is>
      </c>
      <c r="B9" s="102">
        <f>'평가 체크리스트'!M29</f>
        <v/>
      </c>
      <c r="C9" s="102">
        <f>'평가 체크리스트'!M30</f>
        <v/>
      </c>
      <c r="D9" s="102">
        <f>'평가 체크리스트'!M31</f>
        <v/>
      </c>
      <c r="E9" s="102">
        <f>'평가 체크리스트'!M32</f>
        <v/>
      </c>
      <c r="F9" s="102">
        <f>'평가 체크리스트'!M33</f>
        <v/>
      </c>
      <c r="G9" s="137">
        <f>'평가 체크리스트'!M34</f>
        <v/>
      </c>
      <c r="H9" s="138">
        <f>'평가 체크리스트'!M35</f>
        <v/>
      </c>
      <c r="I9" s="139" t="inlineStr">
        <is>
          <t>탈퇴 후 5년 보유(C1:4) · 제3자 제공 다수(B2:6) · 자동화 결정 안내 확인 필요(D5:4)</t>
        </is>
      </c>
    </row>
    <row r="10" ht="27.75" customHeight="1" s="95">
      <c r="A10" s="136" t="inlineStr">
        <is>
          <t>인스타그램</t>
        </is>
      </c>
      <c r="B10" s="102">
        <f>'평가 체크리스트'!N29</f>
        <v/>
      </c>
      <c r="C10" s="102">
        <f>'평가 체크리스트'!N30</f>
        <v/>
      </c>
      <c r="D10" s="102">
        <f>'평가 체크리스트'!N31</f>
        <v/>
      </c>
      <c r="E10" s="102">
        <f>'평가 체크리스트'!N32</f>
        <v/>
      </c>
      <c r="F10" s="102">
        <f>'평가 체크리스트'!N33</f>
        <v/>
      </c>
      <c r="G10" s="137">
        <f>'평가 체크리스트'!N34</f>
        <v/>
      </c>
      <c r="H10" s="138">
        <f>'평가 체크리스트'!N35</f>
        <v/>
      </c>
      <c r="I10" s="139" t="inlineStr">
        <is>
          <t>선택동의 분리 모호(A4:4) · 맞춤형 광고 활용 범위 넓음(B1:5) · 가독성·자동화 결정 확인 필요</t>
        </is>
      </c>
    </row>
    <row r="12" ht="15" customHeight="1" s="95">
      <c r="A12" s="140" t="inlineStr">
        <is>
          <t>평균</t>
        </is>
      </c>
      <c r="B12" s="141">
        <f>AVERAGE(B4:B10)</f>
        <v/>
      </c>
      <c r="C12" s="141">
        <f>AVERAGE(C4:C10)</f>
        <v/>
      </c>
      <c r="D12" s="141">
        <f>AVERAGE(D4:D10)</f>
        <v/>
      </c>
      <c r="E12" s="141">
        <f>AVERAGE(E4:E10)</f>
        <v/>
      </c>
      <c r="F12" s="141">
        <f>AVERAGE(F4:F10)</f>
        <v/>
      </c>
      <c r="G12" s="141">
        <f>AVERAGE(G4:G10)</f>
        <v/>
      </c>
    </row>
    <row r="13" ht="15" customHeight="1" s="95">
      <c r="A13" s="140" t="inlineStr">
        <is>
          <t>최댓값</t>
        </is>
      </c>
      <c r="B13" s="142">
        <f>MAX(B4:B10)</f>
        <v/>
      </c>
      <c r="C13" s="142">
        <f>MAX(C4:C10)</f>
        <v/>
      </c>
      <c r="D13" s="142">
        <f>MAX(D4:D10)</f>
        <v/>
      </c>
      <c r="E13" s="142">
        <f>MAX(E4:E10)</f>
        <v/>
      </c>
      <c r="F13" s="142">
        <f>MAX(F4:F10)</f>
        <v/>
      </c>
      <c r="G13" s="142">
        <f>MAX(G4:G10)</f>
        <v/>
      </c>
    </row>
    <row r="14" ht="15" customHeight="1" s="95">
      <c r="A14" s="140" t="inlineStr">
        <is>
          <t>최솟값</t>
        </is>
      </c>
      <c r="B14" s="142">
        <f>MIN(B4:B10)</f>
        <v/>
      </c>
      <c r="C14" s="142">
        <f>MIN(C4:C10)</f>
        <v/>
      </c>
      <c r="D14" s="142">
        <f>MIN(D4:D10)</f>
        <v/>
      </c>
      <c r="E14" s="142">
        <f>MIN(E4:E10)</f>
        <v/>
      </c>
      <c r="F14" s="142">
        <f>MIN(F4:F10)</f>
        <v/>
      </c>
      <c r="G14" s="142">
        <f>MIN(G4:G10)</f>
        <v/>
      </c>
    </row>
    <row r="16" ht="16.5" customHeight="1" s="95">
      <c r="A16" s="100" t="inlineStr">
        <is>
          <t>등급 분포</t>
        </is>
      </c>
      <c r="B16" s="97" t="n"/>
      <c r="C16" s="97" t="n"/>
      <c r="D16" s="97" t="n"/>
      <c r="E16" s="97" t="n"/>
      <c r="F16" s="97" t="n"/>
      <c r="G16" s="97" t="n"/>
      <c r="H16" s="97" t="n"/>
      <c r="I16" s="98" t="n"/>
    </row>
    <row r="17" ht="15" customHeight="1" s="95">
      <c r="A17" s="143" t="inlineStr">
        <is>
          <t>안전</t>
        </is>
      </c>
      <c r="B17" s="102">
        <f>COUNTIF(H4:H10,"안전")</f>
        <v/>
      </c>
      <c r="C17" s="144">
        <f>COUNTIF(H4:H10,"안전")/7</f>
        <v/>
      </c>
    </row>
    <row r="18" ht="15" customHeight="1" s="95">
      <c r="A18" s="145" t="inlineStr">
        <is>
          <t>주의</t>
        </is>
      </c>
      <c r="B18" s="102">
        <f>COUNTIF(H4:H10,"주의")</f>
        <v/>
      </c>
      <c r="C18" s="144">
        <f>COUNTIF(H4:H10,"주의")/7</f>
        <v/>
      </c>
    </row>
    <row r="19" ht="15" customHeight="1" s="95">
      <c r="A19" s="146" t="inlineStr">
        <is>
          <t>위험</t>
        </is>
      </c>
      <c r="B19" s="102">
        <f>COUNTIF(H4:H10,"위험")</f>
        <v/>
      </c>
      <c r="C19" s="144">
        <f>COUNTIF(H4:H10,"위험")/7</f>
        <v/>
      </c>
    </row>
    <row r="20" ht="15" customHeight="1" s="95">
      <c r="A20" s="147" t="inlineStr">
        <is>
          <t>매우위험</t>
        </is>
      </c>
      <c r="B20" s="102">
        <f>COUNTIF(H4:H10,"매우위험")</f>
        <v/>
      </c>
      <c r="C20" s="144">
        <f>COUNTIF(H4:H10,"매우위험")/7</f>
        <v/>
      </c>
    </row>
  </sheetData>
  <mergeCells count="2">
    <mergeCell ref="A1:I1"/>
    <mergeCell ref="A16:I16"/>
  </mergeCells>
  <conditionalFormatting sqref="H4:H10">
    <cfRule type="cellIs" rank="0" priority="2" equalAverage="0" operator="equal" aboveAverage="0" dxfId="0" text="" percent="0" bottom="0">
      <formula>"안전"</formula>
    </cfRule>
    <cfRule type="cellIs" rank="0" priority="3" equalAverage="0" operator="equal" aboveAverage="0" dxfId="1" text="" percent="0" bottom="0">
      <formula>"주의"</formula>
    </cfRule>
    <cfRule type="cellIs" rank="0" priority="4" equalAverage="0" operator="equal" aboveAverage="0" dxfId="2" text="" percent="0" bottom="0">
      <formula>"위험"</formula>
    </cfRule>
    <cfRule type="cellIs" rank="0" priority="5" equalAverage="0" operator="equal" aboveAverage="0" dxfId="3" text="" percent="0" bottom="0">
      <formula>"매우위험"</formula>
    </cfRule>
  </conditionalFormatting>
  <conditionalFormatting sqref="G4:G10">
    <cfRule type="colorScale" priority="6">
      <colorScale>
        <cfvo type="num" val="0"/>
        <cfvo type="num" val="50"/>
        <cfvo type="num" val="100"/>
        <color rgb="FF10B981"/>
        <color rgb="FFF59E0B"/>
        <color rgb="FF991B1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94" min="1" max="1"/>
    <col width="32" customWidth="1" style="94" min="2" max="2"/>
    <col width="44" customWidth="1" style="94" min="3" max="3"/>
    <col width="12" customWidth="1" style="94" min="4" max="5"/>
    <col width="11" customWidth="1" style="94" min="6" max="6"/>
  </cols>
  <sheetData>
    <row r="1" ht="30" customHeight="1" s="95">
      <c r="A1" s="96" t="inlineStr">
        <is>
          <t>PrivacyScan 평가체계 검증 지표 (파일럿 재현성 검증)</t>
        </is>
      </c>
      <c r="B1" s="97" t="n"/>
      <c r="C1" s="97" t="n"/>
      <c r="D1" s="97" t="n"/>
      <c r="E1" s="97" t="n"/>
      <c r="F1" s="98" t="n"/>
    </row>
    <row r="2" ht="24" customHeight="1" s="95">
      <c r="A2" s="99" t="inlineStr">
        <is>
          <t>심사기준 "지표의 객관성 40점" 정조준. 각 지표의 정의·측정방법·목표를 사전 명시 후 측정값 입력.</t>
        </is>
      </c>
      <c r="B2" s="97" t="n"/>
      <c r="C2" s="97" t="n"/>
      <c r="D2" s="97" t="n"/>
      <c r="E2" s="97" t="n"/>
      <c r="F2" s="98" t="n"/>
    </row>
    <row r="3" ht="31.5" customHeight="1" s="95">
      <c r="A3" s="100" t="inlineStr">
        <is>
          <t>지표</t>
        </is>
      </c>
      <c r="B3" s="100" t="inlineStr">
        <is>
          <t>정의</t>
        </is>
      </c>
      <c r="C3" s="100" t="inlineStr">
        <is>
          <t>측정 방식</t>
        </is>
      </c>
      <c r="D3" s="100" t="inlineStr">
        <is>
          <t>목표</t>
        </is>
      </c>
      <c r="E3" s="100" t="inlineStr">
        <is>
          <t>측정값</t>
        </is>
      </c>
      <c r="F3" s="100" t="inlineStr">
        <is>
          <t>통과 여부</t>
        </is>
      </c>
    </row>
    <row r="4" ht="55.5" customHeight="1" s="95">
      <c r="A4" s="148" t="inlineStr">
        <is>
          <t>정탐률 (Recall)</t>
        </is>
      </c>
      <c r="B4" s="149" t="inlineStr">
        <is>
          <t>위험 조항 중 AI가 올바르게 탐지한 비율</t>
        </is>
      </c>
      <c r="C4" s="149" t="inlineStr">
        <is>
          <t>위험 조항 30건 라벨링 → AI 탐지 결과 비교
TP=26 / FN=4 → Recall = 26/30 = 86.7%</t>
        </is>
      </c>
      <c r="D4" s="150" t="inlineStr">
        <is>
          <t>≥ 80%</t>
        </is>
      </c>
      <c r="E4" s="151" t="n">
        <v>0.867</v>
      </c>
      <c r="F4" s="152">
        <f>IF(E4&gt;=0.8,"통과","미달")</f>
        <v/>
      </c>
    </row>
    <row r="5" ht="55.5" customHeight="1" s="95">
      <c r="A5" s="148" t="inlineStr">
        <is>
          <t>오탐률 (FPR)</t>
        </is>
      </c>
      <c r="B5" s="149" t="inlineStr">
        <is>
          <t>정상 조항을 위험으로 잘못 판단한 비율</t>
        </is>
      </c>
      <c r="C5" s="149" t="inlineStr">
        <is>
          <t>정상 조항 30건 → AI가 위험 표시한 건수
FP=4 / TN=26 → FPR = 4/30 = 13.3%</t>
        </is>
      </c>
      <c r="D5" s="150" t="inlineStr">
        <is>
          <t>≤ 20%</t>
        </is>
      </c>
      <c r="E5" s="151" t="n">
        <v>0.133</v>
      </c>
      <c r="F5" s="152">
        <f>IF(E5&lt;=0.2,"통과","미달")</f>
        <v/>
      </c>
    </row>
    <row r="6" ht="55.5" customHeight="1" s="95">
      <c r="A6" s="148" t="inlineStr">
        <is>
          <t>근거 표시율</t>
        </is>
      </c>
      <c r="B6" s="149" t="inlineStr">
        <is>
          <t>결과 화면 핵심 위험 TOP 3 항목에 원문 근거 첨부 비율</t>
        </is>
      </c>
      <c r="C6" s="153" t="inlineStr">
        <is>
          <t>7개 서비스 × TOP 3 = 21개 위험 항목 중 근거 표시된 항목
21 / 21 = 100%</t>
        </is>
      </c>
      <c r="D6" s="154">
        <f>100%</f>
        <v/>
      </c>
      <c r="E6" s="151" t="n">
        <v>1</v>
      </c>
      <c r="F6" s="152">
        <f>IF(E6=1,"통과","미달")</f>
        <v/>
      </c>
    </row>
    <row r="7" ht="55.5" customHeight="1" s="95">
      <c r="A7" s="148" t="inlineStr">
        <is>
          <t>평균 처리 시간</t>
        </is>
      </c>
      <c r="B7" s="153" t="inlineStr">
        <is>
          <t>URL 입력 → 결과 출력까지 소요 시간</t>
        </is>
      </c>
      <c r="C7" s="153" t="inlineStr">
        <is>
          <t>5개 서비스 × 3회 반복 = 15회 측정
평균 7.2초 / p50 6.8초 / p95 9.8초</t>
        </is>
      </c>
      <c r="D7" s="155" t="inlineStr">
        <is>
          <t>평균 ≤ 10초</t>
        </is>
      </c>
      <c r="E7" s="156" t="n">
        <v>7.2</v>
      </c>
      <c r="F7" s="152">
        <f>IF(E7&lt;=10,"통과","미달")</f>
        <v/>
      </c>
    </row>
    <row r="8" ht="55.5" customHeight="1" s="95">
      <c r="A8" s="148" t="inlineStr">
        <is>
          <t>평가자 일치율</t>
        </is>
      </c>
      <c r="B8" s="149" t="inlineStr">
        <is>
          <t>두 평가자(김주환·정인겸) 독립 채점 일치도</t>
        </is>
      </c>
      <c r="C8" s="149" t="inlineStr">
        <is>
          <t>카카오톡 처리방침 25개 항목 독립 채점
완전일치 21/25 = 84% / 총점 차이 2점</t>
        </is>
      </c>
      <c r="D8" s="155" t="inlineStr">
        <is>
          <t>완전일치 ≥ 70%</t>
        </is>
      </c>
      <c r="E8" s="151" t="n">
        <v>0.84</v>
      </c>
      <c r="F8" s="152">
        <f>IF(E8&gt;=0.7,"통과","미달")</f>
        <v/>
      </c>
    </row>
    <row r="11" ht="24" customHeight="1" s="95">
      <c r="A11" s="100" t="inlineStr">
        <is>
          <t>검증 데이터셋 (Ground Truth)</t>
        </is>
      </c>
      <c r="B11" s="97" t="n"/>
      <c r="C11" s="97" t="n"/>
      <c r="D11" s="97" t="n"/>
      <c r="E11" s="97" t="n"/>
      <c r="F11" s="98" t="n"/>
    </row>
    <row r="12" ht="21.75" customHeight="1" s="95">
      <c r="A12" s="157" t="inlineStr">
        <is>
          <t>• 1. KISA 우수 처리방침 사례 + 시정조치 사례 각 5건씩 → 우리 점수가 두 그룹을 유의미하게 구분하는지 t-test</t>
        </is>
      </c>
      <c r="B12" s="97" t="n"/>
      <c r="C12" s="97" t="n"/>
      <c r="D12" s="97" t="n"/>
      <c r="E12" s="97" t="n"/>
      <c r="F12" s="98" t="n"/>
    </row>
    <row r="13" ht="21.75" customHeight="1" s="95">
      <c r="A13" s="157" t="inlineStr">
        <is>
          <t>• 2. 위험 조항 라벨링은 두 평가자가 독립 라벨링 후 합의 (불일치 항목은 제외)</t>
        </is>
      </c>
      <c r="B13" s="97" t="n"/>
      <c r="C13" s="97" t="n"/>
      <c r="D13" s="97" t="n"/>
      <c r="E13" s="97" t="n"/>
      <c r="F13" s="98" t="n"/>
    </row>
    <row r="14" ht="21.75" customHeight="1" s="95">
      <c r="A14" s="157" t="inlineStr">
        <is>
          <t>• 3. 오탐률 측정 시 "위험으로 잘못 분류한 정상 조항" 5건 발표에서 솔직히 공개 (한계 인정 = 객관성 신호)</t>
        </is>
      </c>
      <c r="B14" s="97" t="n"/>
      <c r="C14" s="97" t="n"/>
      <c r="D14" s="97" t="n"/>
      <c r="E14" s="97" t="n"/>
      <c r="F14" s="98" t="n"/>
    </row>
    <row r="15" ht="21.75" customHeight="1" s="95">
      <c r="A15" s="157" t="inlineStr">
        <is>
          <t>• 4. 처리시간은 평균만 보고하지 않고 p95 함께 보고 (꼬리 분포 노출)</t>
        </is>
      </c>
      <c r="B15" s="97" t="n"/>
      <c r="C15" s="97" t="n"/>
      <c r="D15" s="97" t="n"/>
      <c r="E15" s="97" t="n"/>
      <c r="F15" s="98" t="n"/>
    </row>
  </sheetData>
  <mergeCells count="7">
    <mergeCell ref="A2:F2"/>
    <mergeCell ref="A11:F11"/>
    <mergeCell ref="A13:F13"/>
    <mergeCell ref="A14:F14"/>
    <mergeCell ref="A1:F1"/>
    <mergeCell ref="A12:F12"/>
    <mergeCell ref="A15:F15"/>
  </mergeCells>
  <conditionalFormatting sqref="F4:F8">
    <cfRule type="cellIs" rank="0" priority="2" equalAverage="0" operator="equal" aboveAverage="0" dxfId="0" text="" percent="0" bottom="0">
      <formula>"통과"</formula>
    </cfRule>
    <cfRule type="cellIs" rank="0" priority="3" equalAverage="0" operator="equal" aboveAverage="0" dxfId="2" text="" percent="0" bottom="0">
      <formula>"미달"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94" min="1" max="1"/>
    <col width="22" customWidth="1" style="94" min="2" max="2"/>
    <col width="18" customWidth="1" style="94" min="3" max="3"/>
    <col width="9" customWidth="1" style="94" min="4" max="4"/>
    <col width="32" customWidth="1" style="94" min="5" max="5"/>
  </cols>
  <sheetData>
    <row r="1" ht="30" customHeight="1" s="95">
      <c r="A1" s="134" t="inlineStr">
        <is>
          <t>점수 계산 예시  (실제 조항 → 평가항목 → 점수)</t>
        </is>
      </c>
      <c r="B1" s="97" t="n"/>
      <c r="C1" s="97" t="n"/>
      <c r="D1" s="97" t="n"/>
      <c r="E1" s="98" t="n"/>
    </row>
    <row r="3" ht="31.5" customHeight="1" s="95">
      <c r="A3" s="100" t="inlineStr">
        <is>
          <t>원문 조항</t>
        </is>
      </c>
      <c r="B3" s="100" t="inlineStr">
        <is>
          <t>탐지 항목</t>
        </is>
      </c>
      <c r="C3" s="100" t="inlineStr">
        <is>
          <t>적용 평가항목</t>
        </is>
      </c>
      <c r="D3" s="100" t="inlineStr">
        <is>
          <t>부여 점수</t>
        </is>
      </c>
      <c r="E3" s="100" t="inlineStr">
        <is>
          <t>근거 설명</t>
        </is>
      </c>
    </row>
    <row r="4" ht="37.5" customHeight="1" s="95">
      <c r="A4" s="158" t="inlineStr">
        <is>
          <t>"서비스 개선 및 맞춤형 광고 제공을 위해 이용자의 접속기록, 기기정보, 쿠키 정보를 수집할 수 있습니다."</t>
        </is>
      </c>
      <c r="B4" s="159" t="inlineStr">
        <is>
          <t>자동수집 정보 (IP·기기·쿠키)</t>
        </is>
      </c>
      <c r="C4" s="102" t="inlineStr">
        <is>
          <t>A3</t>
        </is>
      </c>
      <c r="D4" s="160" t="n">
        <v>3</v>
      </c>
      <c r="E4" s="159" t="inlineStr">
        <is>
          <t>위치 미수집이지만 IP/쿠키/기기 +1 each = 3</t>
        </is>
      </c>
    </row>
    <row r="5" ht="37.5" customHeight="1" s="95">
      <c r="A5" s="161" t="n"/>
      <c r="B5" s="159" t="inlineStr">
        <is>
          <t>맞춤형 광고 활용 (선택동의)</t>
        </is>
      </c>
      <c r="C5" s="102" t="inlineStr">
        <is>
          <t>B1</t>
        </is>
      </c>
      <c r="D5" s="160" t="n">
        <v>2</v>
      </c>
      <c r="E5" s="159" t="inlineStr">
        <is>
          <t>선택 동의로 활용 → +2</t>
        </is>
      </c>
    </row>
    <row r="6" ht="37.5" customHeight="1" s="95">
      <c r="A6" s="162" t="n"/>
      <c r="B6" s="163" t="inlineStr">
        <is>
          <t>"서비스 개선" 포괄 표현</t>
        </is>
      </c>
      <c r="C6" s="102" t="inlineStr">
        <is>
          <t>B3</t>
        </is>
      </c>
      <c r="D6" s="160" t="n">
        <v>2</v>
      </c>
      <c r="E6" s="159" t="inlineStr">
        <is>
          <t>포괄 문구 +2</t>
        </is>
      </c>
    </row>
    <row r="7" ht="25.5" customHeight="1" s="95">
      <c r="A7" s="132" t="inlineStr">
        <is>
          <t>합계</t>
        </is>
      </c>
      <c r="B7" s="97" t="n"/>
      <c r="C7" s="98" t="n"/>
      <c r="D7" s="137" t="n">
        <v>10</v>
      </c>
      <c r="E7" s="98" t="n"/>
    </row>
    <row r="8" ht="37.5" customHeight="1" s="95">
      <c r="A8" s="158" t="inlineStr">
        <is>
          <t>"회원 탈퇴 후에도 관계 법령에 따라 거래기록을 5년간 보관합니다."</t>
        </is>
      </c>
      <c r="B8" s="159" t="inlineStr">
        <is>
          <t>탈퇴 후 5년 보관</t>
        </is>
      </c>
      <c r="C8" s="102" t="inlineStr">
        <is>
          <t>C1</t>
        </is>
      </c>
      <c r="D8" s="160" t="n">
        <v>4</v>
      </c>
      <c r="E8" s="163" t="inlineStr">
        <is>
          <t>5년+ 단계 +4</t>
        </is>
      </c>
    </row>
    <row r="9" ht="37.5" customHeight="1" s="95">
      <c r="A9" s="162" t="n"/>
      <c r="B9" s="159" t="inlineStr">
        <is>
          <t>법정의무·자율보존 미분리</t>
        </is>
      </c>
      <c r="C9" s="102" t="inlineStr">
        <is>
          <t>C2</t>
        </is>
      </c>
      <c r="D9" s="160" t="n">
        <v>2</v>
      </c>
      <c r="E9" s="159" t="inlineStr">
        <is>
          <t>전자상거래법 의무와 자율보존 구분 모호 +2</t>
        </is>
      </c>
    </row>
    <row r="10" ht="25.5" customHeight="1" s="95">
      <c r="A10" s="132" t="inlineStr">
        <is>
          <t>합계</t>
        </is>
      </c>
      <c r="B10" s="97" t="n"/>
      <c r="C10" s="98" t="n"/>
      <c r="D10" s="137" t="n">
        <v>6</v>
      </c>
      <c r="E10" s="98" t="n"/>
    </row>
    <row r="11" ht="37.5" customHeight="1" s="95">
      <c r="A11" s="158" t="inlineStr">
        <is>
          <t>"회사는 제휴사 및 광고 파트너에게 개인정보를 제공할 수 있습니다."</t>
        </is>
      </c>
      <c r="B11" s="159" t="inlineStr">
        <is>
          <t>제3자 제공 + 광고/제휴</t>
        </is>
      </c>
      <c r="C11" s="102" t="inlineStr">
        <is>
          <t>B2</t>
        </is>
      </c>
      <c r="D11" s="160" t="n">
        <v>5</v>
      </c>
      <c r="E11" s="159" t="inlineStr">
        <is>
          <t>제공 +3, 광고/제휴 +2</t>
        </is>
      </c>
    </row>
    <row r="12" ht="37.5" customHeight="1" s="95">
      <c r="A12" s="161" t="n"/>
      <c r="B12" s="159" t="inlineStr">
        <is>
          <t>제공 대상 포괄적</t>
        </is>
      </c>
      <c r="C12" s="102" t="inlineStr">
        <is>
          <t>B2</t>
        </is>
      </c>
      <c r="D12" s="160" t="n">
        <v>1</v>
      </c>
      <c r="E12" s="159" t="inlineStr">
        <is>
          <t>구체 회사명 미명시 +1</t>
        </is>
      </c>
    </row>
    <row r="13" ht="37.5" customHeight="1" s="95">
      <c r="A13" s="162" t="n"/>
      <c r="B13" s="159" t="inlineStr">
        <is>
          <t>제공 항목·목적 불명확</t>
        </is>
      </c>
      <c r="C13" s="102" t="inlineStr">
        <is>
          <t>E1</t>
        </is>
      </c>
      <c r="D13" s="160" t="n">
        <v>1</v>
      </c>
      <c r="E13" s="159" t="inlineStr">
        <is>
          <t>구조 명확성에서 -1 (E1에 추가)</t>
        </is>
      </c>
    </row>
    <row r="14" ht="25.5" customHeight="1" s="95">
      <c r="A14" s="132" t="inlineStr">
        <is>
          <t>합계</t>
        </is>
      </c>
      <c r="B14" s="97" t="n"/>
      <c r="C14" s="98" t="n"/>
      <c r="D14" s="137" t="n">
        <v>7</v>
      </c>
      <c r="E14" s="98" t="n"/>
    </row>
    <row r="15" ht="37.5" customHeight="1" s="95">
      <c r="A15" s="158" t="inlineStr">
        <is>
          <t>"개인정보 처리에 대한 동의를 거부하시면 서비스 이용이 제한될 수 있습니다."</t>
        </is>
      </c>
      <c r="B15" s="159" t="inlineStr">
        <is>
          <t>필수처럼 강제</t>
        </is>
      </c>
      <c r="C15" s="102" t="inlineStr">
        <is>
          <t>A4</t>
        </is>
      </c>
      <c r="D15" s="160" t="n">
        <v>4</v>
      </c>
      <c r="E15" s="159" t="inlineStr">
        <is>
          <t>선택동의가 사실상 필수 +4</t>
        </is>
      </c>
    </row>
    <row r="16" ht="37.5" customHeight="1" s="95">
      <c r="A16" s="162" t="n"/>
      <c r="B16" s="159" t="inlineStr">
        <is>
          <t>거부 시 불이익 명시</t>
        </is>
      </c>
      <c r="C16" s="102" t="inlineStr">
        <is>
          <t>D2</t>
        </is>
      </c>
      <c r="D16" s="160" t="n">
        <v>1</v>
      </c>
      <c r="E16" s="159" t="inlineStr">
        <is>
          <t>철회 시 불이익 명시 +1</t>
        </is>
      </c>
    </row>
    <row r="17" ht="25.5" customHeight="1" s="95">
      <c r="A17" s="132" t="inlineStr">
        <is>
          <t>합계</t>
        </is>
      </c>
      <c r="B17" s="97" t="n"/>
      <c r="C17" s="98" t="n"/>
      <c r="D17" s="137" t="n">
        <v>5</v>
      </c>
      <c r="E17" s="98" t="n"/>
    </row>
    <row r="18" ht="37.5" customHeight="1" s="95">
      <c r="A18" s="158" t="inlineStr">
        <is>
          <t>"AI 기반 추천 알고리즘을 통해 사용자에게 적합한 콘텐츠를 제공합니다." (거부권 안내 없음)</t>
        </is>
      </c>
      <c r="B18" s="159" t="inlineStr">
        <is>
          <t>프로파일링 안내 미흡</t>
        </is>
      </c>
      <c r="C18" s="102" t="inlineStr">
        <is>
          <t>D5</t>
        </is>
      </c>
      <c r="D18" s="160" t="n">
        <v>2</v>
      </c>
      <c r="E18" s="159" t="inlineStr">
        <is>
          <t>프로파일링 설명 부족 +2</t>
        </is>
      </c>
    </row>
    <row r="19" ht="37.5" customHeight="1" s="95">
      <c r="A19" s="162" t="n"/>
      <c r="B19" s="159" t="inlineStr">
        <is>
          <t>거부권 미명시</t>
        </is>
      </c>
      <c r="C19" s="102" t="inlineStr">
        <is>
          <t>D5</t>
        </is>
      </c>
      <c r="D19" s="160" t="n">
        <v>2</v>
      </c>
      <c r="E19" s="159" t="inlineStr">
        <is>
          <t>자동화 결정 거부권 미명시 +2</t>
        </is>
      </c>
    </row>
    <row r="20" ht="25.5" customHeight="1" s="95">
      <c r="A20" s="132" t="inlineStr">
        <is>
          <t>합계</t>
        </is>
      </c>
      <c r="B20" s="97" t="n"/>
      <c r="C20" s="98" t="n"/>
      <c r="D20" s="137" t="n">
        <v>4</v>
      </c>
      <c r="E20" s="98" t="n"/>
    </row>
    <row r="22" ht="25.5" customHeight="1" s="95">
      <c r="A22" s="99" t="inlineStr">
        <is>
          <t>※ 모든 점수는 원문 조항·탐지 항목·평가코드·근거 설명을 함께 제공 (근거 표시율 100%)</t>
        </is>
      </c>
      <c r="B22" s="97" t="n"/>
      <c r="C22" s="97" t="n"/>
      <c r="D22" s="97" t="n"/>
      <c r="E22" s="98" t="n"/>
    </row>
  </sheetData>
  <mergeCells count="17">
    <mergeCell ref="A10:C10"/>
    <mergeCell ref="D20:E20"/>
    <mergeCell ref="A8:A9"/>
    <mergeCell ref="A4:A6"/>
    <mergeCell ref="D7:E7"/>
    <mergeCell ref="D10:E10"/>
    <mergeCell ref="A14:C14"/>
    <mergeCell ref="D17:E17"/>
    <mergeCell ref="A15:A16"/>
    <mergeCell ref="A11:A13"/>
    <mergeCell ref="D14:E14"/>
    <mergeCell ref="A1:E1"/>
    <mergeCell ref="A17:C17"/>
    <mergeCell ref="A7:C7"/>
    <mergeCell ref="A18:A19"/>
    <mergeCell ref="A20:C20"/>
    <mergeCell ref="A22:E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" customWidth="1" style="94" min="1" max="1"/>
    <col width="9" customWidth="1" style="94" min="2" max="2"/>
    <col width="7" customWidth="1" style="94" min="3" max="3"/>
    <col width="22" customWidth="1" style="94" min="4" max="4"/>
    <col width="60" customWidth="1" style="94" min="5" max="5"/>
  </cols>
  <sheetData>
    <row r="1" ht="30" customHeight="1" s="95">
      <c r="A1" s="164" t="inlineStr">
        <is>
          <t>서비스별 핵심 위험 TOP 3 원문 근거  (근거 표시율 100% 입증)</t>
        </is>
      </c>
    </row>
    <row r="2" ht="31.5" customHeight="1" s="95">
      <c r="A2" s="165" t="inlineStr">
        <is>
          <t>심사 방어용 - PrivacyScan 결과 화면에 표시되는 핵심 위험 TOP 3 각 항목에 대해 원문 근거 문구를 100% 첨부. ※ 일부 문구는 처리방침의 핵심 표현을 요약 인용한 것이며, 실제 분석 시 정확한 원문이 함께 표시됨.</t>
        </is>
      </c>
    </row>
    <row r="3" ht="27.75" customHeight="1" s="95">
      <c r="A3" s="166" t="inlineStr">
        <is>
          <t>서비스</t>
        </is>
      </c>
      <c r="B3" s="166" t="inlineStr">
        <is>
          <t>평가코드</t>
        </is>
      </c>
      <c r="C3" s="166" t="inlineStr">
        <is>
          <t>점수</t>
        </is>
      </c>
      <c r="D3" s="166" t="inlineStr">
        <is>
          <t>위험 신호</t>
        </is>
      </c>
      <c r="E3" s="166" t="inlineStr">
        <is>
          <t>원문 핵심 문구 요약</t>
        </is>
      </c>
    </row>
    <row r="4" ht="37.5" customHeight="1" s="95">
      <c r="A4" s="167" t="inlineStr">
        <is>
          <t>카카오톡</t>
        </is>
      </c>
      <c r="B4" s="168" t="inlineStr">
        <is>
          <t>B2</t>
        </is>
      </c>
      <c r="C4" s="169" t="n">
        <v>7</v>
      </c>
      <c r="D4" s="170" t="inlineStr">
        <is>
          <t>제3자 제공 범위 넓음</t>
        </is>
      </c>
      <c r="E4" s="171" t="inlineStr">
        <is>
          <t>"광고 파트너, 제휴사, 계열사에 마케팅 목적으로 정보를 제공할 수 있습니다"</t>
        </is>
      </c>
    </row>
    <row r="5" ht="37.5" customHeight="1" s="95">
      <c r="A5" s="167" t="inlineStr">
        <is>
          <t>카카오톡</t>
        </is>
      </c>
      <c r="B5" s="168" t="inlineStr">
        <is>
          <t>A3</t>
        </is>
      </c>
      <c r="C5" s="169" t="n">
        <v>5</v>
      </c>
      <c r="D5" s="170" t="inlineStr">
        <is>
          <t>자동수집 항목 광범위</t>
        </is>
      </c>
      <c r="E5" s="171" t="inlineStr">
        <is>
          <t>"이용자의 IP, 쿠키, 기기정보, 위치정보, 서비스 이용 기록을 자동 수집합니다"</t>
        </is>
      </c>
    </row>
    <row r="6" ht="37.5" customHeight="1" s="95">
      <c r="A6" s="167" t="inlineStr">
        <is>
          <t>카카오톡</t>
        </is>
      </c>
      <c r="B6" s="168" t="inlineStr">
        <is>
          <t>D5</t>
        </is>
      </c>
      <c r="C6" s="169" t="n">
        <v>4</v>
      </c>
      <c r="D6" s="170" t="inlineStr">
        <is>
          <t>자동화 결정 안내 확인 필요</t>
        </is>
      </c>
      <c r="E6" s="172" t="inlineStr">
        <is>
          <t>추천·맞춤형 콘텐츠 제공 관련 명시는 있으나 거부권 안내가 별도 강조되지 않음</t>
        </is>
      </c>
    </row>
    <row r="7" ht="37.5" customHeight="1" s="95">
      <c r="A7" s="167" t="inlineStr">
        <is>
          <t>네이버</t>
        </is>
      </c>
      <c r="B7" s="168" t="inlineStr">
        <is>
          <t>A2</t>
        </is>
      </c>
      <c r="C7" s="169" t="n">
        <v>5</v>
      </c>
      <c r="D7" s="170" t="inlineStr">
        <is>
          <t>민감·자동수집 광범위</t>
        </is>
      </c>
      <c r="E7" s="171" t="inlineStr">
        <is>
          <t>"위치정보, 행동 로그, 검색 기록을 서비스 개선 목적으로 수집합니다"</t>
        </is>
      </c>
    </row>
    <row r="8" ht="37.5" customHeight="1" s="95">
      <c r="A8" s="167" t="inlineStr">
        <is>
          <t>네이버</t>
        </is>
      </c>
      <c r="B8" s="168" t="inlineStr">
        <is>
          <t>B2</t>
        </is>
      </c>
      <c r="C8" s="169" t="n">
        <v>6</v>
      </c>
      <c r="D8" s="170" t="inlineStr">
        <is>
          <t>제3자 제공 다수</t>
        </is>
      </c>
      <c r="E8" s="171" t="inlineStr">
        <is>
          <t>"네이버 계열사 및 광고 파트너에게 정보를 제공할 수 있습니다"</t>
        </is>
      </c>
    </row>
    <row r="9" ht="37.5" customHeight="1" s="95">
      <c r="A9" s="167" t="inlineStr">
        <is>
          <t>네이버</t>
        </is>
      </c>
      <c r="B9" s="168" t="inlineStr">
        <is>
          <t>D5</t>
        </is>
      </c>
      <c r="C9" s="169" t="n">
        <v>2</v>
      </c>
      <c r="D9" s="170" t="inlineStr">
        <is>
          <t>프로파일링 안내 확인 필요</t>
        </is>
      </c>
      <c r="E9" s="172" t="inlineStr">
        <is>
          <t>맞춤형 추천·광고 활용 명시는 있으나 사용자 거부권 절차가 일부만 안내됨</t>
        </is>
      </c>
    </row>
    <row r="10" ht="37.5" customHeight="1" s="95">
      <c r="A10" s="173" t="inlineStr">
        <is>
          <t>쿠팡</t>
        </is>
      </c>
      <c r="B10" s="168" t="inlineStr">
        <is>
          <t>C1</t>
        </is>
      </c>
      <c r="C10" s="169" t="n">
        <v>4</v>
      </c>
      <c r="D10" s="170" t="inlineStr">
        <is>
          <t>탈퇴 후 5년 보유</t>
        </is>
      </c>
      <c r="E10" s="171" t="inlineStr">
        <is>
          <t>"전자상거래법에 따라 거래기록을 5년간 보관합니다"</t>
        </is>
      </c>
    </row>
    <row r="11" ht="37.5" customHeight="1" s="95">
      <c r="A11" s="173" t="inlineStr">
        <is>
          <t>쿠팡</t>
        </is>
      </c>
      <c r="B11" s="168" t="inlineStr">
        <is>
          <t>B2</t>
        </is>
      </c>
      <c r="C11" s="169" t="n">
        <v>6</v>
      </c>
      <c r="D11" s="170" t="inlineStr">
        <is>
          <t>제3자 제공 범위 넓음</t>
        </is>
      </c>
      <c r="E11" s="171" t="inlineStr">
        <is>
          <t>"제휴사·광고사·물류 파트너에게 배송·결제·마케팅 목적으로 정보를 제공"</t>
        </is>
      </c>
    </row>
    <row r="12" ht="37.5" customHeight="1" s="95">
      <c r="A12" s="173" t="inlineStr">
        <is>
          <t>쿠팡</t>
        </is>
      </c>
      <c r="B12" s="168" t="inlineStr">
        <is>
          <t>D5</t>
        </is>
      </c>
      <c r="C12" s="169" t="n">
        <v>4</v>
      </c>
      <c r="D12" s="170" t="inlineStr">
        <is>
          <t>자동화 결정 안내 확인 필요</t>
        </is>
      </c>
      <c r="E12" s="172" t="inlineStr">
        <is>
          <t>맞춤 추천·가격 알고리즘 사용 명시는 있으나 거부권 안내 부족</t>
        </is>
      </c>
    </row>
    <row r="13" ht="37.5" customHeight="1" s="95">
      <c r="A13" s="173" t="inlineStr">
        <is>
          <t>토스</t>
        </is>
      </c>
      <c r="B13" s="168" t="inlineStr">
        <is>
          <t>A2</t>
        </is>
      </c>
      <c r="C13" s="169" t="n">
        <v>7</v>
      </c>
      <c r="D13" s="170" t="inlineStr">
        <is>
          <t>민감·고유식별정보 다수</t>
        </is>
      </c>
      <c r="E13" s="171" t="inlineStr">
        <is>
          <t>"신용정보, 생체인증 정보, 주민등록번호를 금융 서비스 제공 목적으로 수집"</t>
        </is>
      </c>
    </row>
    <row r="14" ht="37.5" customHeight="1" s="95">
      <c r="A14" s="173" t="inlineStr">
        <is>
          <t>토스</t>
        </is>
      </c>
      <c r="B14" s="168" t="inlineStr">
        <is>
          <t>C1</t>
        </is>
      </c>
      <c r="C14" s="169" t="n">
        <v>4</v>
      </c>
      <c r="D14" s="170" t="inlineStr">
        <is>
          <t>탈퇴 후 5년 보유</t>
        </is>
      </c>
      <c r="E14" s="171" t="inlineStr">
        <is>
          <t>"신용정보법에 따라 신용정보를 5년간 보관합니다"</t>
        </is>
      </c>
    </row>
    <row r="15" ht="37.5" customHeight="1" s="95">
      <c r="A15" s="173" t="inlineStr">
        <is>
          <t>토스</t>
        </is>
      </c>
      <c r="B15" s="168" t="inlineStr">
        <is>
          <t>B2</t>
        </is>
      </c>
      <c r="C15" s="169" t="n">
        <v>5</v>
      </c>
      <c r="D15" s="170" t="inlineStr">
        <is>
          <t>제3자 제공</t>
        </is>
      </c>
      <c r="E15" s="171" t="inlineStr">
        <is>
          <t>"금융기관, 신용평가사, 결제 파트너에게 거래 처리 목적으로 정보 제공"</t>
        </is>
      </c>
    </row>
    <row r="16" ht="37.5" customHeight="1" s="95">
      <c r="A16" s="174" t="inlineStr">
        <is>
          <t>당근마켓</t>
        </is>
      </c>
      <c r="B16" s="168" t="inlineStr">
        <is>
          <t>A3</t>
        </is>
      </c>
      <c r="C16" s="169" t="n">
        <v>4</v>
      </c>
      <c r="D16" s="170" t="inlineStr">
        <is>
          <t>위치 기반 자동수집</t>
        </is>
      </c>
      <c r="E16" s="171" t="inlineStr">
        <is>
          <t>"동네 매칭을 위해 위치정보·기기정보를 수집합니다" (서비스 핵심 기능)</t>
        </is>
      </c>
    </row>
    <row r="17" ht="37.5" customHeight="1" s="95">
      <c r="A17" s="174" t="inlineStr">
        <is>
          <t>당근마켓</t>
        </is>
      </c>
      <c r="B17" s="168" t="inlineStr">
        <is>
          <t>B2</t>
        </is>
      </c>
      <c r="C17" s="169" t="n">
        <v>2</v>
      </c>
      <c r="D17" s="170" t="inlineStr">
        <is>
          <t>제3자 제공 (제한적)</t>
        </is>
      </c>
      <c r="E17" s="171" t="inlineStr">
        <is>
          <t>"결제·본인확인 등 처리위탁 외 제3자 제공 거의 없음"</t>
        </is>
      </c>
    </row>
    <row r="18" ht="37.5" customHeight="1" s="95">
      <c r="A18" s="174" t="inlineStr">
        <is>
          <t>당근마켓</t>
        </is>
      </c>
      <c r="B18" s="168" t="inlineStr">
        <is>
          <t>C1</t>
        </is>
      </c>
      <c r="C18" s="169" t="n">
        <v>1</v>
      </c>
      <c r="D18" s="170" t="inlineStr">
        <is>
          <t>탈퇴 후 1년 미만 보유</t>
        </is>
      </c>
      <c r="E18" s="171" t="inlineStr">
        <is>
          <t>"부정이용 방지를 위해 탈퇴 후 1년 보관 후 즉시 파기"</t>
        </is>
      </c>
    </row>
    <row r="19" ht="37.5" customHeight="1" s="95">
      <c r="A19" s="175" t="inlineStr">
        <is>
          <t>배달의민족</t>
        </is>
      </c>
      <c r="B19" s="168" t="inlineStr">
        <is>
          <t>C1</t>
        </is>
      </c>
      <c r="C19" s="169" t="n">
        <v>4</v>
      </c>
      <c r="D19" s="170" t="inlineStr">
        <is>
          <t>탈퇴 후 5년 보유</t>
        </is>
      </c>
      <c r="E19" s="171" t="inlineStr">
        <is>
          <t>"전자상거래법에 따라 거래·결제 기록을 5년간 보관"</t>
        </is>
      </c>
    </row>
    <row r="20" ht="37.5" customHeight="1" s="95">
      <c r="A20" s="175" t="inlineStr">
        <is>
          <t>배달의민족</t>
        </is>
      </c>
      <c r="B20" s="168" t="inlineStr">
        <is>
          <t>B2</t>
        </is>
      </c>
      <c r="C20" s="169" t="n">
        <v>6</v>
      </c>
      <c r="D20" s="170" t="inlineStr">
        <is>
          <t>제3자 제공 다수</t>
        </is>
      </c>
      <c r="E20" s="171" t="inlineStr">
        <is>
          <t>"가맹점·배달 파트너·결제사·광고사에 주문 처리 목적으로 정보 제공"</t>
        </is>
      </c>
    </row>
    <row r="21" ht="37.5" customHeight="1" s="95">
      <c r="A21" s="175" t="inlineStr">
        <is>
          <t>배달의민족</t>
        </is>
      </c>
      <c r="B21" s="168" t="inlineStr">
        <is>
          <t>D5</t>
        </is>
      </c>
      <c r="C21" s="169" t="n">
        <v>4</v>
      </c>
      <c r="D21" s="170" t="inlineStr">
        <is>
          <t>자동화 결정 안내 확인 필요</t>
        </is>
      </c>
      <c r="E21" s="172" t="inlineStr">
        <is>
          <t>맞춤 메뉴·광고 알고리즘 명시 있으나 거부권 안내 부족</t>
        </is>
      </c>
    </row>
    <row r="22" ht="37.5" customHeight="1" s="95">
      <c r="A22" s="175" t="inlineStr">
        <is>
          <t>인스타그램</t>
        </is>
      </c>
      <c r="B22" s="168" t="inlineStr">
        <is>
          <t>B2</t>
        </is>
      </c>
      <c r="C22" s="169" t="n">
        <v>7</v>
      </c>
      <c r="D22" s="170" t="inlineStr">
        <is>
          <t>제3자 제공 범위 넓음</t>
        </is>
      </c>
      <c r="E22" s="171" t="inlineStr">
        <is>
          <t>"Meta 패밀리 앱(페이스북 등) 및 비즈니스 파트너와 정보를 공유합니다"</t>
        </is>
      </c>
    </row>
    <row r="23" ht="37.5" customHeight="1" s="95">
      <c r="A23" s="175" t="inlineStr">
        <is>
          <t>인스타그램</t>
        </is>
      </c>
      <c r="B23" s="168" t="inlineStr">
        <is>
          <t>A1</t>
        </is>
      </c>
      <c r="C23" s="169" t="n">
        <v>6</v>
      </c>
      <c r="D23" s="170" t="inlineStr">
        <is>
          <t>수집 항목 광범위</t>
        </is>
      </c>
      <c r="E23" s="171" t="inlineStr">
        <is>
          <t>"사진·동영상·메시지·연락처·위치·기기정보·활동 기록 등을 수집합니다"</t>
        </is>
      </c>
    </row>
    <row r="24" ht="37.5" customHeight="1" s="95">
      <c r="A24" s="175" t="inlineStr">
        <is>
          <t>인스타그램</t>
        </is>
      </c>
      <c r="B24" s="168" t="inlineStr">
        <is>
          <t>B1</t>
        </is>
      </c>
      <c r="C24" s="169" t="n">
        <v>5</v>
      </c>
      <c r="D24" s="170" t="inlineStr">
        <is>
          <t>맞춤형 광고 활용 범위 넓음</t>
        </is>
      </c>
      <c r="E24" s="171" t="inlineStr">
        <is>
          <t>"광고를 표시하기 위해 활동 정보, 관심사, 인구통계 정보를 활용합니다"</t>
        </is>
      </c>
    </row>
    <row r="26" ht="30" customHeight="1" s="95">
      <c r="A26" s="176" t="inlineStr">
        <is>
          <t>총 21개 위험 항목 중 21개에 원문 근거 첨부 → 근거 표시율 = 21/21 = 100%</t>
        </is>
      </c>
    </row>
  </sheetData>
  <mergeCells count="3">
    <mergeCell ref="A2:E2"/>
    <mergeCell ref="A1:E1"/>
    <mergeCell ref="A26:E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" customWidth="1" style="94" min="1" max="1"/>
    <col width="26" customWidth="1" style="94" min="2" max="2"/>
    <col width="9" customWidth="1" style="94" min="3" max="3"/>
    <col width="11" customWidth="1" style="94" min="4" max="5"/>
    <col width="12" customWidth="1" style="94" min="6" max="6"/>
    <col width="9" customWidth="1" style="94" min="7" max="7"/>
  </cols>
  <sheetData>
    <row r="1" ht="30" customHeight="1" s="95">
      <c r="A1" s="177" t="inlineStr">
        <is>
          <t>평가자 간 일치도 검증  (객관성 입증의 핵심 데이터)</t>
        </is>
      </c>
    </row>
    <row r="2" ht="25.5" customHeight="1" s="95">
      <c r="A2" s="178" t="inlineStr">
        <is>
          <t>두 평가자(김주환·정인겸)가 카카오톡 처리방침을 독립 채점한 결과. 일치율 90% 이상 → 평가체계의 객관성 검증.</t>
        </is>
      </c>
    </row>
    <row r="3" ht="30" customHeight="1" s="95">
      <c r="A3" s="100" t="inlineStr">
        <is>
          <t>코드</t>
        </is>
      </c>
      <c r="B3" s="100" t="inlineStr">
        <is>
          <t>평가항목</t>
        </is>
      </c>
      <c r="C3" s="100" t="inlineStr">
        <is>
          <t>최대점</t>
        </is>
      </c>
      <c r="D3" s="100" t="inlineStr">
        <is>
          <t>김주환</t>
        </is>
      </c>
      <c r="E3" s="100" t="inlineStr">
        <is>
          <t>정인겸</t>
        </is>
      </c>
      <c r="F3" s="100" t="inlineStr">
        <is>
          <t>차이(절대)</t>
        </is>
      </c>
      <c r="G3" s="100" t="inlineStr">
        <is>
          <t>일치</t>
        </is>
      </c>
    </row>
    <row r="4" ht="15" customHeight="1" s="95">
      <c r="A4" s="179" t="inlineStr">
        <is>
          <t>A1</t>
        </is>
      </c>
      <c r="B4" s="180" t="inlineStr">
        <is>
          <t>서비스 목적 대비 과도한 수집</t>
        </is>
      </c>
      <c r="C4" s="181" t="n">
        <v>6</v>
      </c>
      <c r="D4" s="182" t="n">
        <v>4</v>
      </c>
      <c r="E4" s="182" t="n">
        <v>5</v>
      </c>
      <c r="F4" s="181">
        <f>ABS(D4-E4)</f>
        <v/>
      </c>
      <c r="G4" s="181">
        <f>IF(D4=E4,"○","△")</f>
        <v/>
      </c>
    </row>
    <row r="5" ht="15" customHeight="1" s="95">
      <c r="A5" s="179" t="inlineStr">
        <is>
          <t>A2</t>
        </is>
      </c>
      <c r="B5" s="180" t="inlineStr">
        <is>
          <t>민감정보·고유식별정보 수집</t>
        </is>
      </c>
      <c r="C5" s="181" t="n">
        <v>7</v>
      </c>
      <c r="D5" s="182" t="n">
        <v>5</v>
      </c>
      <c r="E5" s="182" t="n">
        <v>5</v>
      </c>
      <c r="F5" s="181">
        <f>ABS(D5-E5)</f>
        <v/>
      </c>
      <c r="G5" s="181">
        <f>IF(D5=E5,"○","△")</f>
        <v/>
      </c>
    </row>
    <row r="6" ht="15" customHeight="1" s="95">
      <c r="A6" s="179" t="inlineStr">
        <is>
          <t>A3</t>
        </is>
      </c>
      <c r="B6" s="180" t="inlineStr">
        <is>
          <t>자동수집 범위</t>
        </is>
      </c>
      <c r="C6" s="181" t="n">
        <v>5</v>
      </c>
      <c r="D6" s="182" t="n">
        <v>5</v>
      </c>
      <c r="E6" s="182" t="n">
        <v>5</v>
      </c>
      <c r="F6" s="181">
        <f>ABS(D6-E6)</f>
        <v/>
      </c>
      <c r="G6" s="181">
        <f>IF(D6=E6,"○","△")</f>
        <v/>
      </c>
    </row>
    <row r="7" ht="15" customHeight="1" s="95">
      <c r="A7" s="179" t="inlineStr">
        <is>
          <t>A4</t>
        </is>
      </c>
      <c r="B7" s="180" t="inlineStr">
        <is>
          <t>필수·선택 동의 구분</t>
        </is>
      </c>
      <c r="C7" s="181" t="n">
        <v>4</v>
      </c>
      <c r="D7" s="182" t="n">
        <v>0</v>
      </c>
      <c r="E7" s="182" t="n">
        <v>0</v>
      </c>
      <c r="F7" s="181">
        <f>ABS(D7-E7)</f>
        <v/>
      </c>
      <c r="G7" s="181">
        <f>IF(D7=E7,"○","△")</f>
        <v/>
      </c>
    </row>
    <row r="8" ht="15" customHeight="1" s="95">
      <c r="A8" s="179" t="inlineStr">
        <is>
          <t>A5</t>
        </is>
      </c>
      <c r="B8" s="180" t="inlineStr">
        <is>
          <t>아동·청소년 정보 수집</t>
        </is>
      </c>
      <c r="C8" s="181" t="n">
        <v>3</v>
      </c>
      <c r="D8" s="182" t="n">
        <v>2</v>
      </c>
      <c r="E8" s="182" t="n">
        <v>2</v>
      </c>
      <c r="F8" s="181">
        <f>ABS(D8-E8)</f>
        <v/>
      </c>
      <c r="G8" s="181">
        <f>IF(D8=E8,"○","△")</f>
        <v/>
      </c>
    </row>
    <row r="9" ht="15" customHeight="1" s="95">
      <c r="A9" s="179" t="inlineStr">
        <is>
          <t>B1</t>
        </is>
      </c>
      <c r="B9" s="180" t="inlineStr">
        <is>
          <t>마케팅·광고 활용</t>
        </is>
      </c>
      <c r="C9" s="181" t="n">
        <v>5</v>
      </c>
      <c r="D9" s="182" t="n">
        <v>2</v>
      </c>
      <c r="E9" s="182" t="n">
        <v>2</v>
      </c>
      <c r="F9" s="181">
        <f>ABS(D9-E9)</f>
        <v/>
      </c>
      <c r="G9" s="181">
        <f>IF(D9=E9,"○","△")</f>
        <v/>
      </c>
    </row>
    <row r="10" ht="15" customHeight="1" s="95">
      <c r="A10" s="179" t="inlineStr">
        <is>
          <t>B2</t>
        </is>
      </c>
      <c r="B10" s="180" t="inlineStr">
        <is>
          <t>제3자 제공 대상·범위</t>
        </is>
      </c>
      <c r="C10" s="181" t="n">
        <v>7</v>
      </c>
      <c r="D10" s="182" t="n">
        <v>7</v>
      </c>
      <c r="E10" s="182" t="n">
        <v>6</v>
      </c>
      <c r="F10" s="181">
        <f>ABS(D10-E10)</f>
        <v/>
      </c>
      <c r="G10" s="181">
        <f>IF(D10=E10,"○","△")</f>
        <v/>
      </c>
    </row>
    <row r="11" ht="15" customHeight="1" s="95">
      <c r="A11" s="179" t="inlineStr">
        <is>
          <t>B3</t>
        </is>
      </c>
      <c r="B11" s="180" t="inlineStr">
        <is>
          <t>목적 외 이용 가능성</t>
        </is>
      </c>
      <c r="C11" s="181" t="n">
        <v>4</v>
      </c>
      <c r="D11" s="182" t="n">
        <v>2</v>
      </c>
      <c r="E11" s="182" t="n">
        <v>2</v>
      </c>
      <c r="F11" s="181">
        <f>ABS(D11-E11)</f>
        <v/>
      </c>
      <c r="G11" s="181">
        <f>IF(D11=E11,"○","△")</f>
        <v/>
      </c>
    </row>
    <row r="12" ht="15" customHeight="1" s="95">
      <c r="A12" s="179" t="inlineStr">
        <is>
          <t>B4</t>
        </is>
      </c>
      <c r="B12" s="180" t="inlineStr">
        <is>
          <t>처리위탁 명확성</t>
        </is>
      </c>
      <c r="C12" s="181" t="n">
        <v>4</v>
      </c>
      <c r="D12" s="182" t="n">
        <v>3</v>
      </c>
      <c r="E12" s="182" t="n">
        <v>3</v>
      </c>
      <c r="F12" s="181">
        <f>ABS(D12-E12)</f>
        <v/>
      </c>
      <c r="G12" s="181">
        <f>IF(D12=E12,"○","△")</f>
        <v/>
      </c>
    </row>
    <row r="13" ht="15" customHeight="1" s="95">
      <c r="A13" s="179" t="inlineStr">
        <is>
          <t>B5</t>
        </is>
      </c>
      <c r="B13" s="180" t="inlineStr">
        <is>
          <t>국외 이전</t>
        </is>
      </c>
      <c r="C13" s="181" t="n">
        <v>5</v>
      </c>
      <c r="D13" s="182" t="n">
        <v>3</v>
      </c>
      <c r="E13" s="182" t="n">
        <v>3</v>
      </c>
      <c r="F13" s="181">
        <f>ABS(D13-E13)</f>
        <v/>
      </c>
      <c r="G13" s="181">
        <f>IF(D13=E13,"○","△")</f>
        <v/>
      </c>
    </row>
    <row r="14" ht="15" customHeight="1" s="95">
      <c r="A14" s="179" t="inlineStr">
        <is>
          <t>C1</t>
        </is>
      </c>
      <c r="B14" s="180" t="inlineStr">
        <is>
          <t>탈퇴 후 보유 기간</t>
        </is>
      </c>
      <c r="C14" s="181" t="n">
        <v>5</v>
      </c>
      <c r="D14" s="182" t="n">
        <v>1</v>
      </c>
      <c r="E14" s="182" t="n">
        <v>1</v>
      </c>
      <c r="F14" s="181">
        <f>ABS(D14-E14)</f>
        <v/>
      </c>
      <c r="G14" s="181">
        <f>IF(D14=E14,"○","△")</f>
        <v/>
      </c>
    </row>
    <row r="15" ht="15" customHeight="1" s="95">
      <c r="A15" s="179" t="inlineStr">
        <is>
          <t>C2</t>
        </is>
      </c>
      <c r="B15" s="180" t="inlineStr">
        <is>
          <t>법정 보관 항목</t>
        </is>
      </c>
      <c r="C15" s="181" t="n">
        <v>3</v>
      </c>
      <c r="D15" s="182" t="n">
        <v>0</v>
      </c>
      <c r="E15" s="182" t="n">
        <v>0</v>
      </c>
      <c r="F15" s="181">
        <f>ABS(D15-E15)</f>
        <v/>
      </c>
      <c r="G15" s="181">
        <f>IF(D15=E15,"○","△")</f>
        <v/>
      </c>
    </row>
    <row r="16" ht="15" customHeight="1" s="95">
      <c r="A16" s="179" t="inlineStr">
        <is>
          <t>C3</t>
        </is>
      </c>
      <c r="B16" s="180" t="inlineStr">
        <is>
          <t>파기 절차</t>
        </is>
      </c>
      <c r="C16" s="181" t="n">
        <v>3</v>
      </c>
      <c r="D16" s="182" t="n">
        <v>0</v>
      </c>
      <c r="E16" s="182" t="n">
        <v>0</v>
      </c>
      <c r="F16" s="181">
        <f>ABS(D16-E16)</f>
        <v/>
      </c>
      <c r="G16" s="181">
        <f>IF(D16=E16,"○","△")</f>
        <v/>
      </c>
    </row>
    <row r="17" ht="15" customHeight="1" s="95">
      <c r="A17" s="179" t="inlineStr">
        <is>
          <t>C4</t>
        </is>
      </c>
      <c r="B17" s="180" t="inlineStr">
        <is>
          <t>백업·로그 보존</t>
        </is>
      </c>
      <c r="C17" s="181" t="n">
        <v>2</v>
      </c>
      <c r="D17" s="182" t="n">
        <v>1</v>
      </c>
      <c r="E17" s="182" t="n">
        <v>2</v>
      </c>
      <c r="F17" s="181">
        <f>ABS(D17-E17)</f>
        <v/>
      </c>
      <c r="G17" s="181">
        <f>IF(D17=E17,"○","△")</f>
        <v/>
      </c>
    </row>
    <row r="18" ht="15" customHeight="1" s="95">
      <c r="A18" s="179" t="inlineStr">
        <is>
          <t>C5</t>
        </is>
      </c>
      <c r="B18" s="180" t="inlineStr">
        <is>
          <t>휴면계정 처리</t>
        </is>
      </c>
      <c r="C18" s="181" t="n">
        <v>2</v>
      </c>
      <c r="D18" s="182" t="n">
        <v>0</v>
      </c>
      <c r="E18" s="182" t="n">
        <v>0</v>
      </c>
      <c r="F18" s="181">
        <f>ABS(D18-E18)</f>
        <v/>
      </c>
      <c r="G18" s="181">
        <f>IF(D18=E18,"○","△")</f>
        <v/>
      </c>
    </row>
    <row r="19" ht="15" customHeight="1" s="95">
      <c r="A19" s="179" t="inlineStr">
        <is>
          <t>D1</t>
        </is>
      </c>
      <c r="B19" s="180" t="inlineStr">
        <is>
          <t>열람·정정·삭제권</t>
        </is>
      </c>
      <c r="C19" s="181" t="n">
        <v>3</v>
      </c>
      <c r="D19" s="182" t="n">
        <v>0</v>
      </c>
      <c r="E19" s="182" t="n">
        <v>0</v>
      </c>
      <c r="F19" s="181">
        <f>ABS(D19-E19)</f>
        <v/>
      </c>
      <c r="G19" s="181">
        <f>IF(D19=E19,"○","△")</f>
        <v/>
      </c>
    </row>
    <row r="20" ht="15" customHeight="1" s="95">
      <c r="A20" s="179" t="inlineStr">
        <is>
          <t>D2</t>
        </is>
      </c>
      <c r="B20" s="180" t="inlineStr">
        <is>
          <t>처리정지·동의철회</t>
        </is>
      </c>
      <c r="C20" s="181" t="n">
        <v>3</v>
      </c>
      <c r="D20" s="182" t="n">
        <v>0</v>
      </c>
      <c r="E20" s="182" t="n">
        <v>0</v>
      </c>
      <c r="F20" s="181">
        <f>ABS(D20-E20)</f>
        <v/>
      </c>
      <c r="G20" s="181">
        <f>IF(D20=E20,"○","△")</f>
        <v/>
      </c>
    </row>
    <row r="21" ht="15" customHeight="1" s="95">
      <c r="A21" s="179" t="inlineStr">
        <is>
          <t>D3</t>
        </is>
      </c>
      <c r="B21" s="180" t="inlineStr">
        <is>
          <t>권리 행사 접근성</t>
        </is>
      </c>
      <c r="C21" s="181" t="n">
        <v>3</v>
      </c>
      <c r="D21" s="182" t="n">
        <v>0</v>
      </c>
      <c r="E21" s="182" t="n">
        <v>0</v>
      </c>
      <c r="F21" s="181">
        <f>ABS(D21-E21)</f>
        <v/>
      </c>
      <c r="G21" s="181">
        <f>IF(D21=E21,"○","△")</f>
        <v/>
      </c>
    </row>
    <row r="22" ht="15" customHeight="1" s="95">
      <c r="A22" s="179" t="inlineStr">
        <is>
          <t>D4</t>
        </is>
      </c>
      <c r="B22" s="180" t="inlineStr">
        <is>
          <t>처리 기한 고지</t>
        </is>
      </c>
      <c r="C22" s="181" t="n">
        <v>2</v>
      </c>
      <c r="D22" s="182" t="n">
        <v>0</v>
      </c>
      <c r="E22" s="182" t="n">
        <v>0</v>
      </c>
      <c r="F22" s="181">
        <f>ABS(D22-E22)</f>
        <v/>
      </c>
      <c r="G22" s="181">
        <f>IF(D22=E22,"○","△")</f>
        <v/>
      </c>
    </row>
    <row r="23" ht="15" customHeight="1" s="95">
      <c r="A23" s="179" t="inlineStr">
        <is>
          <t>D5</t>
        </is>
      </c>
      <c r="B23" s="180" t="inlineStr">
        <is>
          <t>자동화 의사결정</t>
        </is>
      </c>
      <c r="C23" s="181" t="n">
        <v>4</v>
      </c>
      <c r="D23" s="182" t="n">
        <v>4</v>
      </c>
      <c r="E23" s="182" t="n">
        <v>4</v>
      </c>
      <c r="F23" s="181">
        <f>ABS(D23-E23)</f>
        <v/>
      </c>
      <c r="G23" s="181">
        <f>IF(D23=E23,"○","△")</f>
        <v/>
      </c>
    </row>
    <row r="24" ht="15" customHeight="1" s="95">
      <c r="A24" s="179" t="inlineStr">
        <is>
          <t>E1</t>
        </is>
      </c>
      <c r="B24" s="180" t="inlineStr">
        <is>
          <t>항목 구조 명확성</t>
        </is>
      </c>
      <c r="C24" s="181" t="n">
        <v>4</v>
      </c>
      <c r="D24" s="182" t="n">
        <v>0</v>
      </c>
      <c r="E24" s="182" t="n">
        <v>0</v>
      </c>
      <c r="F24" s="181">
        <f>ABS(D24-E24)</f>
        <v/>
      </c>
      <c r="G24" s="181">
        <f>IF(D24=E24,"○","△")</f>
        <v/>
      </c>
    </row>
    <row r="25" ht="15" customHeight="1" s="95">
      <c r="A25" s="179" t="inlineStr">
        <is>
          <t>E2</t>
        </is>
      </c>
      <c r="B25" s="180" t="inlineStr">
        <is>
          <t>문장 난이도</t>
        </is>
      </c>
      <c r="C25" s="181" t="n">
        <v>4</v>
      </c>
      <c r="D25" s="182" t="n">
        <v>2</v>
      </c>
      <c r="E25" s="182" t="n">
        <v>2</v>
      </c>
      <c r="F25" s="181">
        <f>ABS(D25-E25)</f>
        <v/>
      </c>
      <c r="G25" s="181">
        <f>IF(D25=E25,"○","△")</f>
        <v/>
      </c>
    </row>
    <row r="26" ht="15" customHeight="1" s="95">
      <c r="A26" s="179" t="inlineStr">
        <is>
          <t>E3</t>
        </is>
      </c>
      <c r="B26" s="180" t="inlineStr">
        <is>
          <t>변경 이력</t>
        </is>
      </c>
      <c r="C26" s="181" t="n">
        <v>4</v>
      </c>
      <c r="D26" s="182" t="n">
        <v>0</v>
      </c>
      <c r="E26" s="182" t="n">
        <v>0</v>
      </c>
      <c r="F26" s="181">
        <f>ABS(D26-E26)</f>
        <v/>
      </c>
      <c r="G26" s="181">
        <f>IF(D26=E26,"○","△")</f>
        <v/>
      </c>
    </row>
    <row r="27" ht="15" customHeight="1" s="95">
      <c r="A27" s="179" t="inlineStr">
        <is>
          <t>E4</t>
        </is>
      </c>
      <c r="B27" s="180" t="inlineStr">
        <is>
          <t>보호책임자 명시</t>
        </is>
      </c>
      <c r="C27" s="181" t="n">
        <v>4</v>
      </c>
      <c r="D27" s="182" t="n">
        <v>0</v>
      </c>
      <c r="E27" s="182" t="n">
        <v>0</v>
      </c>
      <c r="F27" s="181">
        <f>ABS(D27-E27)</f>
        <v/>
      </c>
      <c r="G27" s="181">
        <f>IF(D27=E27,"○","△")</f>
        <v/>
      </c>
    </row>
    <row r="28" ht="15" customHeight="1" s="95">
      <c r="A28" s="179" t="inlineStr">
        <is>
          <t>E5</t>
        </is>
      </c>
      <c r="B28" s="180" t="inlineStr">
        <is>
          <t>핵심 위험 요약</t>
        </is>
      </c>
      <c r="C28" s="181" t="n">
        <v>4</v>
      </c>
      <c r="D28" s="182" t="n">
        <v>3</v>
      </c>
      <c r="E28" s="182" t="n">
        <v>4</v>
      </c>
      <c r="F28" s="181">
        <f>ABS(D28-E28)</f>
        <v/>
      </c>
      <c r="G28" s="181">
        <f>IF(D28=E28,"○","△")</f>
        <v/>
      </c>
    </row>
    <row r="30" ht="15" customHeight="1" s="95">
      <c r="A30" s="183" t="inlineStr">
        <is>
          <t>총점</t>
        </is>
      </c>
      <c r="B30" s="97" t="n"/>
      <c r="C30" s="97" t="n"/>
      <c r="D30" s="184">
        <f>SUM(D4:D28)</f>
        <v/>
      </c>
      <c r="E30" s="184">
        <f>SUM(E4:E28)</f>
        <v/>
      </c>
      <c r="F30" s="184">
        <f>ABS(D30-E30)</f>
        <v/>
      </c>
      <c r="G30" s="184" t="n"/>
    </row>
    <row r="31" ht="15" customHeight="1" s="95">
      <c r="A31" s="183" t="inlineStr">
        <is>
          <t>평균 절대 차이</t>
        </is>
      </c>
      <c r="B31" s="97" t="n"/>
      <c r="C31" s="97" t="n"/>
      <c r="D31" s="184" t="n"/>
      <c r="E31" s="184" t="n"/>
      <c r="F31" s="185">
        <f>AVERAGE(F4:F28)</f>
        <v/>
      </c>
      <c r="G31" s="184" t="n"/>
    </row>
    <row r="32" ht="16.5" customHeight="1" s="95">
      <c r="A32" s="183" t="inlineStr">
        <is>
          <t>일치율 (1 - 평균차이/평균최대점)</t>
        </is>
      </c>
      <c r="B32" s="97" t="n"/>
      <c r="C32" s="97" t="n"/>
      <c r="D32" s="184" t="n"/>
      <c r="E32" s="184" t="n"/>
      <c r="F32" s="186">
        <f>1-F31/AVERAGE(C4:C28)</f>
        <v/>
      </c>
      <c r="G32" s="184" t="n"/>
    </row>
    <row r="33" ht="15" customHeight="1" s="95">
      <c r="A33" s="183" t="inlineStr">
        <is>
          <t>완전일치 항목 수</t>
        </is>
      </c>
      <c r="B33" s="97" t="n"/>
      <c r="C33" s="97" t="n"/>
      <c r="D33" s="184" t="n"/>
      <c r="E33" s="184" t="n"/>
      <c r="F33" s="184">
        <f>COUNTIF(G4:G28,"○")</f>
        <v/>
      </c>
      <c r="G33" s="187">
        <f>F33/25</f>
        <v/>
      </c>
    </row>
    <row r="36" ht="27.75" customHeight="1" s="95">
      <c r="A36" s="188" t="inlineStr">
        <is>
          <t>※ 일치율 90%+ → 평가체계 객관성 입증 / Cohen's Kappa 환산 0.7+ 기대 / 본선 발표 시 "평가자가 바뀌어도 같은 점수"의 핵심 근거</t>
        </is>
      </c>
      <c r="B36" s="97" t="n"/>
      <c r="C36" s="97" t="n"/>
      <c r="D36" s="97" t="n"/>
      <c r="E36" s="97" t="n"/>
      <c r="F36" s="97" t="n"/>
      <c r="G36" s="97" t="n"/>
    </row>
  </sheetData>
  <mergeCells count="7">
    <mergeCell ref="A36:G36"/>
    <mergeCell ref="A33:C33"/>
    <mergeCell ref="A1:G1"/>
    <mergeCell ref="A32:C32"/>
    <mergeCell ref="A31:C31"/>
    <mergeCell ref="A2:G2"/>
    <mergeCell ref="A30:C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94" min="1" max="1"/>
    <col width="50" customWidth="1" style="94" min="2" max="2"/>
    <col width="30" customWidth="1" style="94" min="3" max="3"/>
  </cols>
  <sheetData>
    <row r="1" ht="30" customHeight="1" s="95">
      <c r="A1" s="164" t="inlineStr">
        <is>
          <t>평가체계 참고 기준  (법·고시·지침)</t>
        </is>
      </c>
    </row>
    <row r="3" ht="27.75" customHeight="1" s="95">
      <c r="A3" s="166" t="inlineStr">
        <is>
          <t>구분</t>
        </is>
      </c>
      <c r="B3" s="166" t="inlineStr">
        <is>
          <t>근거</t>
        </is>
      </c>
      <c r="C3" s="166" t="inlineStr">
        <is>
          <t>평가체계 반영 영역</t>
        </is>
      </c>
    </row>
    <row r="4" ht="25.5" customHeight="1" s="95">
      <c r="A4" s="167" t="inlineStr">
        <is>
          <t>법령</t>
        </is>
      </c>
      <c r="B4" s="170" t="inlineStr">
        <is>
          <t>개인정보보호법 제15조(수집·이용)</t>
        </is>
      </c>
      <c r="C4" s="189" t="inlineStr">
        <is>
          <t>A1, A3, A4, B1</t>
        </is>
      </c>
    </row>
    <row r="5" ht="25.5" customHeight="1" s="95">
      <c r="A5" s="167" t="inlineStr">
        <is>
          <t>법령</t>
        </is>
      </c>
      <c r="B5" s="170" t="inlineStr">
        <is>
          <t>개인정보보호법 제17조(제3자 제공)</t>
        </is>
      </c>
      <c r="C5" s="189" t="inlineStr">
        <is>
          <t>B2</t>
        </is>
      </c>
    </row>
    <row r="6" ht="25.5" customHeight="1" s="95">
      <c r="A6" s="167" t="inlineStr">
        <is>
          <t>법령</t>
        </is>
      </c>
      <c r="B6" s="170" t="inlineStr">
        <is>
          <t>개인정보보호법 제18조(목적 외 이용)</t>
        </is>
      </c>
      <c r="C6" s="189" t="inlineStr">
        <is>
          <t>B3</t>
        </is>
      </c>
    </row>
    <row r="7" ht="25.5" customHeight="1" s="95">
      <c r="A7" s="167" t="inlineStr">
        <is>
          <t>법령</t>
        </is>
      </c>
      <c r="B7" s="170" t="inlineStr">
        <is>
          <t>개인정보보호법 제21조(파기)</t>
        </is>
      </c>
      <c r="C7" s="189" t="inlineStr">
        <is>
          <t>C1, C2, C3, C4, C5</t>
        </is>
      </c>
    </row>
    <row r="8" ht="25.5" customHeight="1" s="95">
      <c r="A8" s="167" t="inlineStr">
        <is>
          <t>법령</t>
        </is>
      </c>
      <c r="B8" s="170" t="inlineStr">
        <is>
          <t>개인정보보호법 제22조(동의), 제22조의2(아동)</t>
        </is>
      </c>
      <c r="C8" s="189" t="inlineStr">
        <is>
          <t>A4, A5</t>
        </is>
      </c>
    </row>
    <row r="9" ht="25.5" customHeight="1" s="95">
      <c r="A9" s="167" t="inlineStr">
        <is>
          <t>법령</t>
        </is>
      </c>
      <c r="B9" s="170" t="inlineStr">
        <is>
          <t>개인정보보호법 제23조(민감정보), 제24조(고유식별정보)</t>
        </is>
      </c>
      <c r="C9" s="189" t="inlineStr">
        <is>
          <t>A2</t>
        </is>
      </c>
    </row>
    <row r="10" ht="25.5" customHeight="1" s="95">
      <c r="A10" s="167" t="inlineStr">
        <is>
          <t>법령</t>
        </is>
      </c>
      <c r="B10" s="170" t="inlineStr">
        <is>
          <t>개인정보보호법 제26조(처리위탁)</t>
        </is>
      </c>
      <c r="C10" s="189" t="inlineStr">
        <is>
          <t>B4</t>
        </is>
      </c>
    </row>
    <row r="11" ht="25.5" customHeight="1" s="95">
      <c r="A11" s="167" t="inlineStr">
        <is>
          <t>법령</t>
        </is>
      </c>
      <c r="B11" s="170" t="inlineStr">
        <is>
          <t>개인정보보호법 제28조의8(국외 이전)</t>
        </is>
      </c>
      <c r="C11" s="189" t="inlineStr">
        <is>
          <t>B5</t>
        </is>
      </c>
    </row>
    <row r="12" ht="25.5" customHeight="1" s="95">
      <c r="A12" s="167" t="inlineStr">
        <is>
          <t>법령</t>
        </is>
      </c>
      <c r="B12" s="170" t="inlineStr">
        <is>
          <t>개인정보보호법 제30조(처리방침), 제31조(보호책임자)</t>
        </is>
      </c>
      <c r="C12" s="189" t="inlineStr">
        <is>
          <t>E1, E3, E4, E5</t>
        </is>
      </c>
    </row>
    <row r="13" ht="25.5" customHeight="1" s="95">
      <c r="A13" s="167" t="inlineStr">
        <is>
          <t>법령</t>
        </is>
      </c>
      <c r="B13" s="170" t="inlineStr">
        <is>
          <t>개인정보보호법 제35조~제37조(정보주체 권리)</t>
        </is>
      </c>
      <c r="C13" s="189" t="inlineStr">
        <is>
          <t>D1, D2, D3, D4</t>
        </is>
      </c>
    </row>
    <row r="14" ht="25.5" customHeight="1" s="95">
      <c r="A14" s="167" t="inlineStr">
        <is>
          <t>법령</t>
        </is>
      </c>
      <c r="B14" s="170" t="inlineStr">
        <is>
          <t>개인정보보호법 제37조의2(자동화된 결정에 대한 권리)</t>
        </is>
      </c>
      <c r="C14" s="189" t="inlineStr">
        <is>
          <t>D5</t>
        </is>
      </c>
    </row>
    <row r="15" ht="25.5" customHeight="1" s="95">
      <c r="A15" s="167" t="inlineStr">
        <is>
          <t>법령</t>
        </is>
      </c>
      <c r="B15" s="170" t="inlineStr">
        <is>
          <t>전자상거래법 제6조(거래기록 보존 5년)</t>
        </is>
      </c>
      <c r="C15" s="189" t="inlineStr">
        <is>
          <t>C1, C2</t>
        </is>
      </c>
    </row>
    <row r="16" ht="25.5" customHeight="1" s="95">
      <c r="A16" s="173" t="inlineStr">
        <is>
          <t>고시</t>
        </is>
      </c>
      <c r="B16" s="170" t="inlineStr">
        <is>
          <t>개인정보 처리방침 평가에 관한 고시 (개인정보보호위원회)</t>
        </is>
      </c>
      <c r="C16" s="189" t="inlineStr">
        <is>
          <t>E영역 전반 - 적정성·가독성·접근성</t>
        </is>
      </c>
    </row>
    <row r="17" ht="25.5" customHeight="1" s="95">
      <c r="A17" s="174" t="inlineStr">
        <is>
          <t>지침</t>
        </is>
      </c>
      <c r="B17" s="190" t="inlineStr">
        <is>
          <t>KISA 개인정보 처리방침 작성지침</t>
        </is>
      </c>
      <c r="C17" s="189" t="inlineStr">
        <is>
          <t>E1, E2, E3, E4, E5</t>
        </is>
      </c>
    </row>
    <row r="18" ht="25.5" customHeight="1" s="95">
      <c r="A18" s="174" t="inlineStr">
        <is>
          <t>지침</t>
        </is>
      </c>
      <c r="B18" s="190" t="inlineStr">
        <is>
          <t>KISA 개인정보 처리방침 가독성 평가 기준</t>
        </is>
      </c>
      <c r="C18" s="189" t="inlineStr">
        <is>
          <t>E2 (어절·한자어·전문용어·글자크기)</t>
        </is>
      </c>
    </row>
    <row r="20" ht="25.5" customHeight="1" s="95">
      <c r="A20" s="191" t="inlineStr">
        <is>
          <t>PrivacyScan 평가체계는 위 법령·고시·지침을 종합 반영하여 설계됨</t>
        </is>
      </c>
    </row>
  </sheetData>
  <mergeCells count="2">
    <mergeCell ref="A1:C1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2026-05-08T01:33:48Z</dcterms:created>
  <dcterms:modified xmlns:dcterms="http://purl.org/dc/terms/" xmlns:xsi="http://www.w3.org/2001/XMLSchema-instance" xsi:type="dcterms:W3CDTF">2026-05-08T04:29:24Z</dcterms:modified>
  <cp:revision>0</cp:revision>
</cp:coreProperties>
</file>